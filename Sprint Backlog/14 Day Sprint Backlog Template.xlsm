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simsimeo\Documents\Technical Projects\SPOneAccess2\Sprint Backlog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Roster'!$D$7,0,0,COUNTA('Team Roster'!$D:$D)-1,1)</definedName>
    <definedName name="Members" localSheetId="0">OFFSET('Team Roster'!$D$7,0,0,COUNTA('Team Roster'!$D:$D)-1,1)</definedName>
    <definedName name="Members">OFFSET('Team Roster'!$D$7,0,0,COUNTA('Team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52511"/>
</workbook>
</file>

<file path=xl/calcChain.xml><?xml version="1.0" encoding="utf-8"?>
<calcChain xmlns="http://schemas.openxmlformats.org/spreadsheetml/2006/main">
  <c r="B3" i="9" l="1"/>
  <c r="B4" i="9"/>
  <c r="B5" i="9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R43" i="7" s="1"/>
  <c r="U43" i="7" s="1"/>
  <c r="X43" i="7" s="1"/>
  <c r="AA43" i="7" s="1"/>
  <c r="O25" i="7"/>
  <c r="R25" i="7" s="1"/>
  <c r="O60" i="7"/>
  <c r="R60" i="7" s="1"/>
  <c r="O44" i="7"/>
  <c r="R44" i="7" s="1"/>
  <c r="U44" i="7" s="1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G9" i="6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G8" i="6" s="1"/>
  <c r="O13" i="7"/>
  <c r="O59" i="7"/>
  <c r="O57" i="7"/>
  <c r="O55" i="7"/>
  <c r="R55" i="7" s="1"/>
  <c r="U55" i="7" s="1"/>
  <c r="G55" i="7" s="1"/>
  <c r="O53" i="7"/>
  <c r="R53" i="7" s="1"/>
  <c r="O51" i="7"/>
  <c r="R51" i="7" s="1"/>
  <c r="U51" i="7" s="1"/>
  <c r="G51" i="7" s="1"/>
  <c r="O58" i="7"/>
  <c r="O56" i="7"/>
  <c r="R56" i="7" s="1"/>
  <c r="U56" i="7" s="1"/>
  <c r="G56" i="7" s="1"/>
  <c r="O54" i="7"/>
  <c r="R54" i="7" s="1"/>
  <c r="O52" i="7"/>
  <c r="R52" i="7" s="1"/>
  <c r="U52" i="7" s="1"/>
  <c r="G52" i="7" s="1"/>
  <c r="O50" i="7"/>
  <c r="R50" i="7" s="1"/>
  <c r="O48" i="7"/>
  <c r="R48" i="7" s="1"/>
  <c r="O46" i="7"/>
  <c r="R46" i="7" s="1"/>
  <c r="U46" i="7" s="1"/>
  <c r="G46" i="7" s="1"/>
  <c r="O42" i="7"/>
  <c r="O40" i="7"/>
  <c r="O38" i="7"/>
  <c r="O36" i="7"/>
  <c r="O34" i="7"/>
  <c r="O32" i="7"/>
  <c r="O30" i="7"/>
  <c r="O28" i="7"/>
  <c r="O26" i="7"/>
  <c r="O24" i="7"/>
  <c r="O7" i="7"/>
  <c r="R7" i="7" s="1"/>
  <c r="U7" i="7" s="1"/>
  <c r="G7" i="7" s="1"/>
  <c r="O5" i="7"/>
  <c r="O22" i="7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24" i="7"/>
  <c r="R22" i="7"/>
  <c r="U22" i="7" s="1"/>
  <c r="G22" i="7" s="1"/>
  <c r="R18" i="7"/>
  <c r="U18" i="7" s="1"/>
  <c r="G18" i="7" s="1"/>
  <c r="O6" i="7"/>
  <c r="O20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7" i="7" l="1"/>
  <c r="U17" i="7" s="1"/>
  <c r="R21" i="7"/>
  <c r="R31" i="7"/>
  <c r="R39" i="7"/>
  <c r="G44" i="7"/>
  <c r="R28" i="7"/>
  <c r="U28" i="7" s="1"/>
  <c r="R23" i="7"/>
  <c r="R41" i="7"/>
  <c r="U41" i="7" s="1"/>
  <c r="R15" i="7"/>
  <c r="U15" i="7" s="1"/>
  <c r="R33" i="7"/>
  <c r="U33" i="7" s="1"/>
  <c r="R19" i="7"/>
  <c r="R29" i="7"/>
  <c r="U29" i="7" s="1"/>
  <c r="R37" i="7"/>
  <c r="U37" i="7" s="1"/>
  <c r="R47" i="7"/>
  <c r="U47" i="7" s="1"/>
  <c r="X44" i="7"/>
  <c r="AA44" i="7" s="1"/>
  <c r="U53" i="7"/>
  <c r="X53" i="7" s="1"/>
  <c r="AA53" i="7" s="1"/>
  <c r="R13" i="7"/>
  <c r="U13" i="7" s="1"/>
  <c r="G13" i="7" s="1"/>
  <c r="U31" i="7"/>
  <c r="G31" i="7" s="1"/>
  <c r="G53" i="7"/>
  <c r="U60" i="7"/>
  <c r="R59" i="7"/>
  <c r="U59" i="7" s="1"/>
  <c r="R5" i="7"/>
  <c r="U5" i="7" s="1"/>
  <c r="G5" i="7" s="1"/>
  <c r="R27" i="7"/>
  <c r="U27" i="7" s="1"/>
  <c r="R35" i="7"/>
  <c r="U35" i="7" s="1"/>
  <c r="R45" i="7"/>
  <c r="U45" i="7" s="1"/>
  <c r="X45" i="7" s="1"/>
  <c r="R57" i="7"/>
  <c r="U14" i="7"/>
  <c r="G14" i="7" s="1"/>
  <c r="AD43" i="7"/>
  <c r="AG43" i="7" s="1"/>
  <c r="AD44" i="7"/>
  <c r="AG44" i="7" s="1"/>
  <c r="G15" i="7"/>
  <c r="G45" i="7"/>
  <c r="G35" i="7"/>
  <c r="U25" i="7"/>
  <c r="G25" i="7" s="1"/>
  <c r="R11" i="7"/>
  <c r="U11" i="7" s="1"/>
  <c r="G11" i="7" s="1"/>
  <c r="U12" i="7"/>
  <c r="X8" i="7"/>
  <c r="AA8" i="7" s="1"/>
  <c r="U10" i="7"/>
  <c r="X10" i="7" s="1"/>
  <c r="R20" i="7"/>
  <c r="X22" i="7"/>
  <c r="R26" i="7"/>
  <c r="R34" i="7"/>
  <c r="R36" i="7"/>
  <c r="R42" i="7"/>
  <c r="R49" i="7"/>
  <c r="X46" i="7"/>
  <c r="AA46" i="7" s="1"/>
  <c r="U21" i="7"/>
  <c r="G21" i="7" s="1"/>
  <c r="U39" i="7"/>
  <c r="R58" i="7"/>
  <c r="G60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U20" i="7"/>
  <c r="G20" i="7" s="1"/>
  <c r="AA22" i="7"/>
  <c r="R6" i="7"/>
  <c r="R16" i="7"/>
  <c r="X18" i="7"/>
  <c r="U24" i="7"/>
  <c r="R30" i="7"/>
  <c r="R40" i="7"/>
  <c r="X52" i="7"/>
  <c r="X56" i="7"/>
  <c r="U19" i="7"/>
  <c r="U23" i="7"/>
  <c r="R61" i="7"/>
  <c r="U61" i="7" s="1"/>
  <c r="X61" i="7" s="1"/>
  <c r="AA61" i="7" s="1"/>
  <c r="G28" i="7" l="1"/>
  <c r="X28" i="7"/>
  <c r="AA28" i="7" s="1"/>
  <c r="AD28" i="7" s="1"/>
  <c r="AG28" i="7" s="1"/>
  <c r="X25" i="7"/>
  <c r="AA25" i="7" s="1"/>
  <c r="X15" i="7"/>
  <c r="AA15" i="7" s="1"/>
  <c r="AD15" i="7" s="1"/>
  <c r="AG15" i="7" s="1"/>
  <c r="X31" i="7"/>
  <c r="AA31" i="7" s="1"/>
  <c r="AA10" i="7"/>
  <c r="AD10" i="7" s="1"/>
  <c r="G59" i="7"/>
  <c r="X59" i="7"/>
  <c r="AA59" i="7" s="1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X11" i="7"/>
  <c r="AA11" i="7" s="1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U6" i="7"/>
  <c r="G6" i="7" s="1"/>
  <c r="X20" i="7"/>
  <c r="AA20" i="7" s="1"/>
  <c r="AA55" i="7"/>
  <c r="AD55" i="7" s="1"/>
  <c r="AA51" i="7"/>
  <c r="AD51" i="7" s="1"/>
  <c r="AA56" i="7"/>
  <c r="AA52" i="7"/>
  <c r="X32" i="7"/>
  <c r="X17" i="7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X58" i="7" s="1"/>
  <c r="G41" i="7"/>
  <c r="X41" i="7"/>
  <c r="G37" i="7"/>
  <c r="X37" i="7"/>
  <c r="AA37" i="7" s="1"/>
  <c r="U49" i="7"/>
  <c r="U34" i="7"/>
  <c r="G10" i="7"/>
  <c r="G12" i="7"/>
  <c r="X12" i="7"/>
  <c r="AD22" i="7"/>
  <c r="AD21" i="7"/>
  <c r="X54" i="7"/>
  <c r="X50" i="7"/>
  <c r="AD53" i="7"/>
  <c r="AA18" i="7"/>
  <c r="AD18" i="7" s="1"/>
  <c r="U16" i="7"/>
  <c r="G16" i="7" s="1"/>
  <c r="AJ43" i="7"/>
  <c r="AJ15" i="7"/>
  <c r="AD61" i="7"/>
  <c r="AG10" i="7" l="1"/>
  <c r="AJ10" i="7" s="1"/>
  <c r="AD31" i="7"/>
  <c r="AG31" i="7" s="1"/>
  <c r="AD5" i="7"/>
  <c r="AG5" i="7" s="1"/>
  <c r="AJ5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M13" i="7" s="1"/>
  <c r="AS44" i="7"/>
  <c r="AV44" i="7" s="1"/>
  <c r="AY44" i="7" s="1"/>
  <c r="AA12" i="7"/>
  <c r="G34" i="7"/>
  <c r="G49" i="7"/>
  <c r="G58" i="7"/>
  <c r="G40" i="7"/>
  <c r="AG51" i="7"/>
  <c r="AJ51" i="7" s="1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25" i="7" s="1"/>
  <c r="AJ25" i="7" s="1"/>
  <c r="X40" i="7"/>
  <c r="AA40" i="7" s="1"/>
  <c r="AD40" i="7" s="1"/>
  <c r="X26" i="7"/>
  <c r="X42" i="7"/>
  <c r="AA42" i="7" s="1"/>
  <c r="AD42" i="7" s="1"/>
  <c r="AG9" i="7"/>
  <c r="AG48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G32" i="7"/>
  <c r="AA32" i="7"/>
  <c r="AD32" i="7" s="1"/>
  <c r="AM43" i="7"/>
  <c r="AP43" i="7" s="1"/>
  <c r="AD23" i="7"/>
  <c r="AG23" i="7" s="1"/>
  <c r="X49" i="7"/>
  <c r="AA58" i="7"/>
  <c r="AM10" i="7"/>
  <c r="AP10" i="7" s="1"/>
  <c r="AD11" i="7"/>
  <c r="AA50" i="7"/>
  <c r="AA54" i="7"/>
  <c r="AM15" i="7"/>
  <c r="AA29" i="7"/>
  <c r="X16" i="7"/>
  <c r="AD56" i="7"/>
  <c r="AA41" i="7"/>
  <c r="AG61" i="7"/>
  <c r="AG32" i="7" l="1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G54" i="7" s="1"/>
  <c r="AJ54" i="7" s="1"/>
  <c r="AM54" i="7" s="1"/>
  <c r="AP54" i="7" s="1"/>
  <c r="AS54" i="7" s="1"/>
  <c r="AV54" i="7" s="1"/>
  <c r="AY54" i="7" s="1"/>
  <c r="CE54" i="7" s="1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M32" i="7" l="1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BH41" i="7" l="1"/>
  <c r="BK41" i="7" s="1"/>
  <c r="BN41" i="7" s="1"/>
  <c r="BQ41" i="7" s="1"/>
  <c r="BT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W41" i="7"/>
  <c r="BZ41" i="7" s="1"/>
  <c r="CC41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35" i="7"/>
  <c r="AS32" i="7"/>
  <c r="AV32" i="7" s="1"/>
  <c r="AY32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3" i="9" l="1"/>
  <c r="C5" i="9"/>
  <c r="C4" i="9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G10" i="6" l="1"/>
  <c r="C8" i="6" s="1"/>
  <c r="C25" i="9"/>
  <c r="N67" i="7"/>
  <c r="O4" i="7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" i="7" l="1"/>
  <c r="G4" i="7"/>
  <c r="F36" i="8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 l="1"/>
  <c r="R29" i="8" s="1"/>
  <c r="R32" i="8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<sst xmlns="http://schemas.openxmlformats.org/spreadsheetml/2006/main" count="338" uniqueCount="156">
  <si>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</si>
  <si>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</si>
  <si>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</si>
  <si>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</si>
  <si>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</si>
  <si>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</si>
  <si>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</si>
  <si>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</si>
  <si>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</si>
  <si>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</si>
  <si>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</si>
  <si>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</si>
  <si>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</si>
  <si>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</si>
  <si>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</si>
  <si>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</si>
  <si>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</si>
  <si>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</si>
  <si>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</si>
  <si>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</si>
  <si>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</si>
  <si>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</si>
  <si>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</si>
  <si>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</si>
  <si>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</si>
  <si>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</si>
  <si>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</si>
  <si>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</si>
  <si>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</si>
  <si>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</si>
  <si>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</si>
  <si>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</si>
  <si>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</si>
  <si>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</si>
  <si>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</si>
  <si>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</si>
  <si>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</si>
  <si>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</si>
  <si>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</si>
  <si>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</si>
  <si>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</si>
  <si>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</si>
  <si>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</si>
  <si>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</si>
  <si>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</si>
  <si>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</si>
  <si>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</si>
  <si>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</si>
  <si>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</si>
  <si>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</si>
  <si>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</si>
  <si>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</si>
  <si>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</si>
  <si>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</si>
  <si>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</si>
  <si>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</si>
  <si>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</si>
  <si>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</si>
  <si>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</si>
  <si>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</si>
  <si>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</si>
  <si>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</si>
  <si>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</si>
  <si>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</si>
  <si>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</si>
  <si>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</si>
  <si>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</si>
  <si>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</si>
  <si>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</si>
  <si>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</si>
  <si>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</si>
  <si>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</si>
  <si>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</si>
  <si>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</si>
  <si>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</si>
  <si>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</si>
  <si>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</si>
  <si>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</si>
  <si>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</si>
  <si>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</si>
  <si>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</si>
  <si>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</si>
  <si>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</si>
  <si>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</si>
  <si>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</si>
  <si>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</si>
  <si>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</si>
  <si>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</si>
  <si>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</si>
  <si>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</si>
  <si>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</si>
  <si>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</si>
  <si>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</si>
  <si>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</si>
  <si>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</si>
  <si>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</si>
  <si>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</si>
  <si>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</si>
  <si>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</si>
  <si>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</si>
  <si>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</si>
  <si>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</si>
  <si>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</si>
  <si>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</si>
  <si>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</si>
  <si>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</si>
  <si>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</si>
  <si>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</si>
  <si>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</si>
  <si>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</si>
  <si>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</si>
  <si>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</si>
  <si>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</si>
  <si>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</si>
  <si>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</si>
  <si>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</si>
  <si>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</si>
  <si>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</si>
  <si>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</si>
  <si>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</si>
  <si>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</si>
  <si>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</si>
  <si>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</si>
  <si>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</si>
  <si>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</si>
  <si>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</si>
  <si>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</si>
  <si>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</si>
  <si>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</si>
  <si>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User Access Management</t>
  </si>
  <si>
    <t>Mass Deletion</t>
  </si>
  <si>
    <t>User Security Matrix</t>
  </si>
  <si>
    <t>MD - The ability to load an excel file with multiple emails to be used in the mass-cleanup campaign</t>
  </si>
  <si>
    <t>MD - The ability that checks if a user is a site collection administrators and not remove them from the cleanup list of users during the mass cleanup campaign</t>
  </si>
  <si>
    <t>MD - The  ability to check whether an email is a PDL or user during the mass deletion campaigns</t>
  </si>
  <si>
    <t>MD - The ability to remove users from the deletion list (mass cleanup campaign) on the fly</t>
  </si>
  <si>
    <t>MD - The ability to see a report of who has been deleted and who has not been (success/fail screen)</t>
  </si>
  <si>
    <t>UAM - ability to add single/multiple user/users in different groups</t>
  </si>
  <si>
    <t>UAM - ability to copy the permissions of a single user and duplicate them to another</t>
  </si>
  <si>
    <t>UAM - ability to send automated message when adding user(s) to group(s)</t>
  </si>
  <si>
    <t>UAM - ability to see the group’s permissions it has to the different areas</t>
  </si>
  <si>
    <t>UAM - ability to grant access to sites using the site name as option by listing the groups under each sub-site and their permissions</t>
  </si>
  <si>
    <t>UAM - ability to search for users by Name,  by Email, or by Domain Name</t>
  </si>
  <si>
    <t>UAM - ability to cherry-pick users that have same Display Name</t>
  </si>
  <si>
    <t>UAM - ability to remove a user(s) from all groups by pressing a single button (with confirmation button)</t>
  </si>
  <si>
    <t>Veselin Stoyanov</t>
  </si>
  <si>
    <t>vstoyanov@hp.com</t>
  </si>
  <si>
    <t>Simeon Simeonoff</t>
  </si>
  <si>
    <t>simeons@hp.com</t>
  </si>
  <si>
    <t>Martina Dzhibirska</t>
  </si>
  <si>
    <t>martina.dzhibirska@hp.com</t>
  </si>
  <si>
    <t>Jenny Guteva</t>
  </si>
  <si>
    <t>jenny.guteva@hp.com</t>
  </si>
  <si>
    <t>Albena Pavlova</t>
  </si>
  <si>
    <t>albena.pavlova@hp.com</t>
  </si>
  <si>
    <t>Sprint Vision: Create a single user access management portal for all user access management tasks, including mass cleanup campaigns and user security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</si>
</sst>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name val="HP Simplified"/>
      <family val="2"/>
    </font>
    <font>
      <u/>
      <sz val="9"/>
      <color indexed="12"/>
      <name val="HP Simplified"/>
      <family val="2"/>
    </font>
    <font>
      <u/>
      <sz val="10"/>
      <color indexed="12"/>
      <name val="HP Simplified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12"/>
      </left>
      <right/>
      <top/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21" fillId="30" borderId="51" xfId="0" applyFont="1" applyFill="1" applyBorder="1" applyAlignment="1">
      <alignment horizontal="left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0" borderId="54" xfId="0" applyFont="1" applyFill="1" applyBorder="1"/>
    <xf numFmtId="0" fontId="21" fillId="0" borderId="55" xfId="0" applyFont="1" applyFill="1" applyBorder="1" applyAlignment="1">
      <alignment horizontal="left" vertical="top"/>
    </xf>
    <xf numFmtId="0" fontId="21" fillId="0" borderId="56" xfId="0" applyFont="1" applyFill="1" applyBorder="1" applyAlignment="1">
      <alignment horizontal="left"/>
    </xf>
    <xf numFmtId="0" fontId="21" fillId="0" borderId="56" xfId="36" applyFont="1" applyFill="1" applyBorder="1" applyAlignment="1" applyProtection="1">
      <alignment horizontal="left" wrapText="1"/>
    </xf>
    <xf numFmtId="0" fontId="21" fillId="0" borderId="57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0" borderId="62" xfId="0" applyFont="1" applyFill="1" applyBorder="1" applyAlignment="1">
      <alignment horizontal="left"/>
    </xf>
    <xf numFmtId="0" fontId="47" fillId="30" borderId="50" xfId="36" applyFont="1" applyFill="1" applyBorder="1" applyAlignment="1" applyProtection="1">
      <alignment horizontal="left" wrapText="1"/>
    </xf>
    <xf numFmtId="0" fontId="46" fillId="30" borderId="48" xfId="0" applyFont="1" applyFill="1" applyBorder="1" applyAlignment="1">
      <alignment wrapText="1"/>
    </xf>
    <xf numFmtId="0" fontId="47" fillId="30" borderId="49" xfId="36" applyFont="1" applyFill="1" applyBorder="1" applyAlignment="1" applyProtection="1">
      <alignment wrapText="1"/>
    </xf>
    <xf numFmtId="0" fontId="46" fillId="30" borderId="48" xfId="0" applyFont="1" applyFill="1" applyBorder="1" applyAlignment="1">
      <alignment horizontal="left"/>
    </xf>
    <xf numFmtId="0" fontId="47" fillId="30" borderId="50" xfId="36" applyFont="1" applyFill="1" applyBorder="1" applyAlignment="1" applyProtection="1">
      <alignment horizontal="left"/>
    </xf>
    <xf numFmtId="0" fontId="48" fillId="30" borderId="49" xfId="36" applyFont="1" applyFill="1" applyBorder="1" applyAlignment="1" applyProtection="1">
      <alignment wrapText="1"/>
    </xf>
    <xf numFmtId="0" fontId="46" fillId="21" borderId="12" xfId="0" applyFont="1" applyFill="1" applyBorder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1" xfId="0" applyNumberFormat="1" applyFont="1" applyFill="1" applyBorder="1" applyAlignment="1">
      <alignment horizontal="center"/>
    </xf>
    <xf numFmtId="0" fontId="36" fillId="28" borderId="58" xfId="0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55</c:v>
                </c:pt>
                <c:pt idx="1">
                  <c:v>55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30712"/>
        <c:axId val="459031104"/>
      </c:areaChart>
      <c:catAx>
        <c:axId val="459030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5903110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5903110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5903071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30</c:v>
                </c:pt>
                <c:pt idx="1">
                  <c:v>30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31888"/>
        <c:axId val="45903228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120</c:v>
                </c:pt>
                <c:pt idx="1">
                  <c:v>120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10</c:v>
                </c:pt>
                <c:pt idx="1">
                  <c:v>10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31888"/>
        <c:axId val="459032280"/>
      </c:lineChart>
      <c:catAx>
        <c:axId val="45903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5903228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5903228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5903188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9033064"/>
        <c:axId val="459033456"/>
      </c:barChart>
      <c:catAx>
        <c:axId val="459033064"/>
        <c:scaling>
          <c:orientation val="minMax"/>
        </c:scaling>
        <c:delete val="0"/>
        <c:axPos val="b"/>
        <c:majorTickMark val="out"/>
        <c:minorTickMark val="none"/>
        <c:tickLblPos val="nextTo"/>
        <c:crossAx val="459033456"/>
        <c:crosses val="autoZero"/>
        <c:auto val="1"/>
        <c:lblAlgn val="ctr"/>
        <c:lblOffset val="100"/>
        <c:noMultiLvlLbl val="0"/>
      </c:catAx>
      <c:valAx>
        <c:axId val="4590334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9033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User Access Management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Mass Deletion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User Security Matrix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9034240"/>
        <c:axId val="330314224"/>
      </c:barChart>
      <c:catAx>
        <c:axId val="459034240"/>
        <c:scaling>
          <c:orientation val="minMax"/>
        </c:scaling>
        <c:delete val="0"/>
        <c:axPos val="b"/>
        <c:majorTickMark val="out"/>
        <c:minorTickMark val="none"/>
        <c:tickLblPos val="nextTo"/>
        <c:crossAx val="330314224"/>
        <c:crosses val="autoZero"/>
        <c:auto val="1"/>
        <c:lblAlgn val="ctr"/>
        <c:lblOffset val="100"/>
        <c:noMultiLvlLbl val="0"/>
      </c:catAx>
      <c:valAx>
        <c:axId val="3303142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9034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315400"/>
        <c:axId val="330315792"/>
      </c:barChart>
      <c:catAx>
        <c:axId val="33031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330315792"/>
        <c:crosses val="autoZero"/>
        <c:auto val="1"/>
        <c:lblAlgn val="ctr"/>
        <c:lblOffset val="100"/>
        <c:noMultiLvlLbl val="0"/>
      </c:catAx>
      <c:valAx>
        <c:axId val="3303157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031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a.dzhibirska@hp.com" TargetMode="External"/><Relationship Id="rId2" Type="http://schemas.openxmlformats.org/officeDocument/2006/relationships/hyperlink" Target="mailto:simeons@hp.com" TargetMode="External"/><Relationship Id="rId1" Type="http://schemas.openxmlformats.org/officeDocument/2006/relationships/hyperlink" Target="mailto:vstoyanov@hp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lbena.pavlova@hp.com" TargetMode="External"/><Relationship Id="rId4" Type="http://schemas.openxmlformats.org/officeDocument/2006/relationships/hyperlink" Target="mailto:jenny.guteva@hp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J8" sqref="J8"/>
    </sheetView>
  </sheetViews>
  <sheetFormatPr defaultRowHeight="12.75" outlineLevelCol="1" x14ac:dyDescent="0.2"/>
  <cols>
    <col min="1" max="1" width="12.140625" style="6" customWidth="1"/>
    <col min="2" max="2" width="20.5703125" style="6" bestFit="1" customWidth="1"/>
    <col min="3" max="3" width="12.140625" style="6" customWidth="1"/>
    <col min="4" max="4" width="6" style="6" customWidth="1"/>
    <col min="5" max="5" width="111" style="6" bestFit="1" customWidth="1"/>
    <col min="6" max="6" width="20.5703125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4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42142</v>
      </c>
      <c r="H1" s="1"/>
      <c r="I1" s="1"/>
      <c r="J1" s="191">
        <f>SprintStart</f>
        <v>42142</v>
      </c>
      <c r="K1" s="191"/>
      <c r="L1" s="191"/>
      <c r="M1" s="191">
        <f>IF(AND(SkipWeekends, WEEKDAY(J1)=6),J1+3, J1+1)</f>
        <v>42143</v>
      </c>
      <c r="N1" s="191"/>
      <c r="O1" s="191"/>
      <c r="P1" s="191">
        <f>IF(AND(SkipWeekends, WEEKDAY(M1)=6),M1+3, M1+1)</f>
        <v>42144</v>
      </c>
      <c r="Q1" s="191"/>
      <c r="R1" s="191"/>
      <c r="S1" s="191">
        <f>IF(AND(SkipWeekends, WEEKDAY(P1)=6),P1+3, P1+1)</f>
        <v>42145</v>
      </c>
      <c r="T1" s="191"/>
      <c r="U1" s="191"/>
      <c r="V1" s="191">
        <f>IF(AND(SkipWeekends, WEEKDAY(S1)=6),S1+3, S1+1)</f>
        <v>42146</v>
      </c>
      <c r="W1" s="191"/>
      <c r="X1" s="191"/>
      <c r="Y1" s="191">
        <f>IF(AND(SkipWeekends, WEEKDAY(V1)=6),V1+3, V1+1)</f>
        <v>42149</v>
      </c>
      <c r="Z1" s="191"/>
      <c r="AA1" s="191"/>
      <c r="AB1" s="191">
        <f>IF(AND(SkipWeekends, WEEKDAY(Y1)=6),Y1+3, Y1+1)</f>
        <v>42150</v>
      </c>
      <c r="AC1" s="191"/>
      <c r="AD1" s="191"/>
      <c r="AE1" s="191">
        <f>IF(AND(SkipWeekends, WEEKDAY(AB1)=6),AB1+3, AB1+1)</f>
        <v>42151</v>
      </c>
      <c r="AF1" s="191"/>
      <c r="AG1" s="191"/>
      <c r="AH1" s="191">
        <f>IF(AND(SkipWeekends, WEEKDAY(AE1)=6),AE1+3, AE1+1)</f>
        <v>42152</v>
      </c>
      <c r="AI1" s="191"/>
      <c r="AJ1" s="191"/>
      <c r="AK1" s="191">
        <f>IF(AND(SkipWeekends, WEEKDAY(AH1)=6),AH1+3, AH1+1)</f>
        <v>42153</v>
      </c>
      <c r="AL1" s="191"/>
      <c r="AM1" s="191"/>
      <c r="AN1" s="191">
        <f>IF(AND(SkipWeekends, WEEKDAY(AK1)=6),AK1+3, AK1+1)</f>
        <v>42156</v>
      </c>
      <c r="AO1" s="191"/>
      <c r="AP1" s="191"/>
      <c r="AQ1" s="191">
        <f>IF(AND(SkipWeekends, WEEKDAY(AN1)=6),AN1+3, AN1+1)</f>
        <v>42157</v>
      </c>
      <c r="AR1" s="191"/>
      <c r="AS1" s="191"/>
      <c r="AT1" s="191">
        <f>IF(AND(SkipWeekends, WEEKDAY(AQ1)=6),AQ1+3, AQ1+1)</f>
        <v>42158</v>
      </c>
      <c r="AU1" s="191"/>
      <c r="AV1" s="191"/>
      <c r="AW1" s="191">
        <f>IF(AND(SkipWeekends, WEEKDAY(AT1)=6),AT1+3, AT1+1)</f>
        <v>42159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47"/>
      <c r="K2" s="147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48" t="s">
        <v>12</v>
      </c>
      <c r="K3" s="149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103</v>
      </c>
      <c r="B4" s="16" t="s">
        <v>130</v>
      </c>
      <c r="C4" s="16"/>
      <c r="D4" s="17">
        <v>1</v>
      </c>
      <c r="E4" s="173" t="s">
        <v>132</v>
      </c>
      <c r="F4" s="189" t="s">
        <v>150</v>
      </c>
      <c r="G4" s="19" t="str">
        <f t="shared" ref="G4:G61" ca="1" si="0">(INDEX(Burndown,ROW(G4)-ROW(G$3),MIN(TODAY()-SprintStart,29)*3+3))</f>
        <v>In Progress</v>
      </c>
      <c r="H4" s="20">
        <v>1</v>
      </c>
      <c r="I4" s="21">
        <v>10</v>
      </c>
      <c r="J4" s="22">
        <v>4</v>
      </c>
      <c r="K4" s="22">
        <f t="shared" ref="K4" si="1">MAX(I4-J4, 0)</f>
        <v>6</v>
      </c>
      <c r="L4" s="23" t="str">
        <f>IF(SUMPRODUCT($J$64:K$64,$J4:K4)&lt;0.5, "Pending", IF(K4&lt;0.5, "Complete", "In Progress"))</f>
        <v>In Progress</v>
      </c>
      <c r="M4" s="22">
        <v>0</v>
      </c>
      <c r="N4" s="22">
        <f t="shared" ref="N4" si="2">MAX(K4-M4,0)</f>
        <v>6</v>
      </c>
      <c r="O4" s="23" t="str">
        <f>IF(SUMPRODUCT($J$64:N$64,$J4:N4)&lt;0.5, "Pending", IF(N4&lt;0.5, "Complete", "In Progress"))</f>
        <v>In Progress</v>
      </c>
      <c r="P4" s="22">
        <v>0</v>
      </c>
      <c r="Q4" s="22">
        <f t="shared" ref="Q4" si="3">MAX(N4-P4,0)</f>
        <v>6</v>
      </c>
      <c r="R4" s="23" t="str">
        <f>IF(SUMPRODUCT($J$64:Q$64,$J4:Q4)&lt;0.5, "Pending", IF(Q4&lt;0.5, "Complete", "In Progress"))</f>
        <v>In Progress</v>
      </c>
      <c r="S4" s="22">
        <v>0</v>
      </c>
      <c r="T4" s="22">
        <f t="shared" ref="T4" si="4">MAX(Q4-S4,0)</f>
        <v>6</v>
      </c>
      <c r="U4" s="23" t="str">
        <f>IF(SUMPRODUCT($J$64:T$64,$J4:T4)&lt;0.5, "Pending", IF(T4&lt;0.5, "Complete", "In Progress"))</f>
        <v>In Progress</v>
      </c>
      <c r="V4" s="22">
        <v>0</v>
      </c>
      <c r="W4" s="22">
        <f t="shared" ref="W4" si="5">MAX(T4-V4,0)</f>
        <v>6</v>
      </c>
      <c r="X4" s="23" t="str">
        <f>IF(SUMPRODUCT($J$64:W$64,$J4:W4)&lt;0.5, "Pending", IF(W4&lt;0.5, "Complete", "In Progress"))</f>
        <v>In Progress</v>
      </c>
      <c r="Y4" s="22">
        <v>0</v>
      </c>
      <c r="Z4" s="22">
        <f t="shared" ref="Z4" si="6">MAX(W4-Y4,0)</f>
        <v>6</v>
      </c>
      <c r="AA4" s="23" t="str">
        <f>IF(SUMPRODUCT($J$64:Z$64,$J4:Z4)&lt;0.5, "Pending", IF(Z4&lt;0.5, "Complete", "In Progress"))</f>
        <v>In Progress</v>
      </c>
      <c r="AB4" s="22">
        <v>0</v>
      </c>
      <c r="AC4" s="22">
        <f t="shared" ref="AC4" si="7">MAX(Z4-AB4,0)</f>
        <v>6</v>
      </c>
      <c r="AD4" s="23" t="str">
        <f>IF(SUMPRODUCT($J$64:AC$64,$J4:AC4)&lt;0.5, "Pending", IF(AC4&lt;0.5, "Complete", "In Progress"))</f>
        <v>In Progress</v>
      </c>
      <c r="AE4" s="22">
        <v>0</v>
      </c>
      <c r="AF4" s="22">
        <f t="shared" ref="AF4" si="8">MAX(AC4-AE4,0)</f>
        <v>6</v>
      </c>
      <c r="AG4" s="23" t="str">
        <f>IF(SUMPRODUCT($J$64:AF$64,$J4:AF4)&lt;0.5, "Pending", IF(AF4&lt;0.5, "Complete", "In Progress"))</f>
        <v>In Progress</v>
      </c>
      <c r="AH4" s="22">
        <v>0</v>
      </c>
      <c r="AI4" s="22">
        <f t="shared" ref="AI4" si="9">MAX(AF4-AH4,0)</f>
        <v>6</v>
      </c>
      <c r="AJ4" s="23" t="str">
        <f>IF(SUMPRODUCT($J$64:AI$64,$J4:AI4)&lt;0.5, "Pending", IF(AI4&lt;0.5, "Complete", "In Progress"))</f>
        <v>In Progress</v>
      </c>
      <c r="AK4" s="22">
        <v>0</v>
      </c>
      <c r="AL4" s="22">
        <f t="shared" ref="AL4" si="10">MAX(AI4-AK4,0)</f>
        <v>6</v>
      </c>
      <c r="AM4" s="23" t="str">
        <f>IF(SUMPRODUCT($J$64:AL$64,$J4:AL4)&lt;0.5, "Pending", IF(AL4&lt;0.5, "Complete", "In Progress"))</f>
        <v>In Progress</v>
      </c>
      <c r="AN4" s="22">
        <v>0</v>
      </c>
      <c r="AO4" s="22">
        <f t="shared" ref="AO4" si="11">MAX(AL4-AN4,0)</f>
        <v>6</v>
      </c>
      <c r="AP4" s="23" t="str">
        <f>IF(SUMPRODUCT($J$64:AO$64,$J4:AO4)&lt;0.5, "Pending", IF(AO4&lt;0.5, "Complete", "In Progress"))</f>
        <v>In Progress</v>
      </c>
      <c r="AQ4" s="22">
        <v>0</v>
      </c>
      <c r="AR4" s="22">
        <f t="shared" ref="AR4" si="12">MAX(AO4-AQ4,0)</f>
        <v>6</v>
      </c>
      <c r="AS4" s="23" t="str">
        <f>IF(SUMPRODUCT($J$64:AR$64,$J4:AR4)&lt;0.5, "Pending", IF(AR4&lt;0.5, "Complete", "In Progress"))</f>
        <v>In Progress</v>
      </c>
      <c r="AT4" s="22">
        <v>0</v>
      </c>
      <c r="AU4" s="22">
        <f t="shared" ref="AU4" si="13">MAX(AR4-AT4,0)</f>
        <v>6</v>
      </c>
      <c r="AV4" s="23" t="str">
        <f>IF(SUMPRODUCT($J$64:AU$64,$J4:AU4)&lt;0.5, "Pending", IF(AU4&lt;0.5, "Complete", "In Progress"))</f>
        <v>In Progress</v>
      </c>
      <c r="AW4" s="22">
        <v>0</v>
      </c>
      <c r="AX4" s="22">
        <f t="shared" ref="AX4" si="14">MAX(AU4-AW4,0)</f>
        <v>6</v>
      </c>
      <c r="AY4" s="23" t="str">
        <f>IF(SUMPRODUCT($J$64:AX$64,$J4:AX4)&lt;0.5, "Pending", IF(AX4&lt;0.5, "Complete", "In Progress"))</f>
        <v>In Progress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4</v>
      </c>
    </row>
    <row r="5" spans="1:83" x14ac:dyDescent="0.2">
      <c r="A5" s="16" t="s">
        <v>103</v>
      </c>
      <c r="B5" s="16" t="s">
        <v>130</v>
      </c>
      <c r="C5" s="16"/>
      <c r="D5" s="17">
        <v>2</v>
      </c>
      <c r="E5" s="173" t="s">
        <v>133</v>
      </c>
      <c r="F5" s="189" t="s">
        <v>150</v>
      </c>
      <c r="G5" s="19" t="str">
        <f t="shared" ca="1" si="0"/>
        <v>In Progress</v>
      </c>
      <c r="H5" s="20">
        <v>1</v>
      </c>
      <c r="I5" s="21">
        <v>10</v>
      </c>
      <c r="J5" s="22">
        <v>2</v>
      </c>
      <c r="K5" s="22">
        <f t="shared" ref="K5:K60" si="24">MAX(I5-J5, 0)</f>
        <v>8</v>
      </c>
      <c r="L5" s="23" t="str">
        <f>IF(SUMPRODUCT($J$64:K$64,$J5:K5)&lt;0.5, "Pending", IF(K5&lt;0.5, "Complete", "In Progress"))</f>
        <v>In Progress</v>
      </c>
      <c r="M5" s="22">
        <v>0</v>
      </c>
      <c r="N5" s="22">
        <f t="shared" ref="N5:N60" si="25">MAX(K5-M5,0)</f>
        <v>8</v>
      </c>
      <c r="O5" s="23" t="str">
        <f>IF(SUMPRODUCT($J$64:N$64,$J5:N5)&lt;0.5, "Pending", IF(N5&lt;0.5, "Complete", "In Progress"))</f>
        <v>In Progress</v>
      </c>
      <c r="P5" s="22">
        <v>0</v>
      </c>
      <c r="Q5" s="22">
        <f t="shared" ref="Q5:Q60" si="26">MAX(N5-P5,0)</f>
        <v>8</v>
      </c>
      <c r="R5" s="23" t="str">
        <f>IF(SUMPRODUCT($J$64:Q$64,$J5:Q5)&lt;0.5, "Pending", IF(Q5&lt;0.5, "Complete", "In Progress"))</f>
        <v>In Progress</v>
      </c>
      <c r="S5" s="22">
        <v>0</v>
      </c>
      <c r="T5" s="22">
        <f t="shared" ref="T5:T60" si="27">MAX(Q5-S5,0)</f>
        <v>8</v>
      </c>
      <c r="U5" s="23" t="str">
        <f>IF(SUMPRODUCT($J$64:T$64,$J5:T5)&lt;0.5, "Pending", IF(T5&lt;0.5, "Complete", "In Progress"))</f>
        <v>In Progress</v>
      </c>
      <c r="V5" s="22">
        <v>0</v>
      </c>
      <c r="W5" s="22">
        <f t="shared" ref="W5:W60" si="28">MAX(T5-V5,0)</f>
        <v>8</v>
      </c>
      <c r="X5" s="23" t="str">
        <f>IF(SUMPRODUCT($J$64:W$64,$J5:W5)&lt;0.5, "Pending", IF(W5&lt;0.5, "Complete", "In Progress"))</f>
        <v>In Progress</v>
      </c>
      <c r="Y5" s="22">
        <v>0</v>
      </c>
      <c r="Z5" s="22">
        <f t="shared" ref="Z5:Z60" si="29">MAX(W5-Y5,0)</f>
        <v>8</v>
      </c>
      <c r="AA5" s="23" t="str">
        <f>IF(SUMPRODUCT($J$64:Z$64,$J5:Z5)&lt;0.5, "Pending", IF(Z5&lt;0.5, "Complete", "In Progress"))</f>
        <v>In Progress</v>
      </c>
      <c r="AB5" s="22">
        <v>0</v>
      </c>
      <c r="AC5" s="22">
        <f t="shared" ref="AC5:AC60" si="30">MAX(Z5-AB5,0)</f>
        <v>8</v>
      </c>
      <c r="AD5" s="23" t="str">
        <f>IF(SUMPRODUCT($J$64:AC$64,$J5:AC5)&lt;0.5, "Pending", IF(AC5&lt;0.5, "Complete", "In Progress"))</f>
        <v>In Progress</v>
      </c>
      <c r="AE5" s="22">
        <v>0</v>
      </c>
      <c r="AF5" s="22">
        <f t="shared" ref="AF5:AF60" si="31">MAX(AC5-AE5,0)</f>
        <v>8</v>
      </c>
      <c r="AG5" s="23" t="str">
        <f>IF(SUMPRODUCT($J$64:AF$64,$J5:AF5)&lt;0.5, "Pending", IF(AF5&lt;0.5, "Complete", "In Progress"))</f>
        <v>In Progress</v>
      </c>
      <c r="AH5" s="22">
        <v>0</v>
      </c>
      <c r="AI5" s="22">
        <f t="shared" ref="AI5:AI60" si="32">MAX(AF5-AH5,0)</f>
        <v>8</v>
      </c>
      <c r="AJ5" s="23" t="str">
        <f>IF(SUMPRODUCT($J$64:AI$64,$J5:AI5)&lt;0.5, "Pending", IF(AI5&lt;0.5, "Complete", "In Progress"))</f>
        <v>In Progress</v>
      </c>
      <c r="AK5" s="22">
        <v>0</v>
      </c>
      <c r="AL5" s="22">
        <f t="shared" ref="AL5:AL60" si="33">MAX(AI5-AK5,0)</f>
        <v>8</v>
      </c>
      <c r="AM5" s="23" t="str">
        <f>IF(SUMPRODUCT($J$64:AL$64,$J5:AL5)&lt;0.5, "Pending", IF(AL5&lt;0.5, "Complete", "In Progress"))</f>
        <v>In Progress</v>
      </c>
      <c r="AN5" s="22">
        <v>0</v>
      </c>
      <c r="AO5" s="22">
        <f t="shared" ref="AO5:AO60" si="34">MAX(AL5-AN5,0)</f>
        <v>8</v>
      </c>
      <c r="AP5" s="23" t="str">
        <f>IF(SUMPRODUCT($J$64:AO$64,$J5:AO5)&lt;0.5, "Pending", IF(AO5&lt;0.5, "Complete", "In Progress"))</f>
        <v>In Progress</v>
      </c>
      <c r="AQ5" s="22">
        <v>0</v>
      </c>
      <c r="AR5" s="22">
        <f t="shared" ref="AR5:AR60" si="35">MAX(AO5-AQ5,0)</f>
        <v>8</v>
      </c>
      <c r="AS5" s="23" t="str">
        <f>IF(SUMPRODUCT($J$64:AR$64,$J5:AR5)&lt;0.5, "Pending", IF(AR5&lt;0.5, "Complete", "In Progress"))</f>
        <v>In Progress</v>
      </c>
      <c r="AT5" s="22">
        <v>0</v>
      </c>
      <c r="AU5" s="22">
        <f t="shared" ref="AU5:AU60" si="36">MAX(AR5-AT5,0)</f>
        <v>8</v>
      </c>
      <c r="AV5" s="23" t="str">
        <f>IF(SUMPRODUCT($J$64:AU$64,$J5:AU5)&lt;0.5, "Pending", IF(AU5&lt;0.5, "Complete", "In Progress"))</f>
        <v>In Progress</v>
      </c>
      <c r="AW5" s="22">
        <v>0</v>
      </c>
      <c r="AX5" s="22">
        <f t="shared" ref="AX5:AX60" si="37">MAX(AU5-AW5,0)</f>
        <v>8</v>
      </c>
      <c r="AY5" s="23" t="str">
        <f>IF(SUMPRODUCT($J$64:AX$64,$J5:AX5)&lt;0.5, "Pending", IF(AX5&lt;0.5, "Complete", "In Progress"))</f>
        <v>In Progress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2</v>
      </c>
    </row>
    <row r="6" spans="1:83" x14ac:dyDescent="0.2">
      <c r="A6" s="16" t="s">
        <v>103</v>
      </c>
      <c r="B6" s="16" t="s">
        <v>130</v>
      </c>
      <c r="C6" s="16"/>
      <c r="D6" s="17">
        <v>3</v>
      </c>
      <c r="E6" s="173" t="s">
        <v>134</v>
      </c>
      <c r="F6" s="189" t="s">
        <v>146</v>
      </c>
      <c r="G6" s="19" t="str">
        <f t="shared" ca="1" si="0"/>
        <v>Pending</v>
      </c>
      <c r="H6" s="20">
        <v>1</v>
      </c>
      <c r="I6" s="21">
        <v>10</v>
      </c>
      <c r="J6" s="22">
        <v>0</v>
      </c>
      <c r="K6" s="22">
        <f t="shared" si="24"/>
        <v>10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10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10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10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10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10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10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10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10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10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10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10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10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10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 t="s">
        <v>103</v>
      </c>
      <c r="B7" s="16" t="s">
        <v>130</v>
      </c>
      <c r="C7" s="16"/>
      <c r="D7" s="17">
        <v>4</v>
      </c>
      <c r="E7" s="173" t="s">
        <v>135</v>
      </c>
      <c r="F7" s="189" t="s">
        <v>146</v>
      </c>
      <c r="G7" s="19" t="str">
        <f t="shared" ca="1" si="0"/>
        <v>Pending</v>
      </c>
      <c r="H7" s="20">
        <v>1</v>
      </c>
      <c r="I7" s="21">
        <v>10</v>
      </c>
      <c r="J7" s="22">
        <v>0</v>
      </c>
      <c r="K7" s="22">
        <f t="shared" si="24"/>
        <v>10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10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10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10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10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10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10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10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10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10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10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10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10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10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 t="s">
        <v>103</v>
      </c>
      <c r="B8" s="16" t="s">
        <v>130</v>
      </c>
      <c r="C8" s="16"/>
      <c r="D8" s="17">
        <v>5</v>
      </c>
      <c r="E8" s="173" t="s">
        <v>136</v>
      </c>
      <c r="F8" s="189" t="s">
        <v>148</v>
      </c>
      <c r="G8" s="19" t="str">
        <f t="shared" ca="1" si="0"/>
        <v>Pending</v>
      </c>
      <c r="H8" s="20">
        <v>1</v>
      </c>
      <c r="I8" s="21">
        <v>10</v>
      </c>
      <c r="J8" s="22">
        <v>0</v>
      </c>
      <c r="K8" s="22">
        <f t="shared" si="24"/>
        <v>10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10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10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10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10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10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10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10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10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10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10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10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10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10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 t="s">
        <v>103</v>
      </c>
      <c r="B9" s="16" t="s">
        <v>129</v>
      </c>
      <c r="C9" s="16"/>
      <c r="D9" s="17">
        <v>6</v>
      </c>
      <c r="E9" s="173" t="s">
        <v>137</v>
      </c>
      <c r="F9" s="189" t="s">
        <v>148</v>
      </c>
      <c r="G9" s="19" t="str">
        <f t="shared" ca="1" si="0"/>
        <v>Pending</v>
      </c>
      <c r="H9" s="20">
        <v>1</v>
      </c>
      <c r="I9" s="21">
        <v>10</v>
      </c>
      <c r="J9" s="22">
        <v>0</v>
      </c>
      <c r="K9" s="22">
        <f t="shared" si="24"/>
        <v>10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10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10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10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10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10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10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10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10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10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10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10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10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10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103</v>
      </c>
      <c r="B10" s="16" t="s">
        <v>129</v>
      </c>
      <c r="C10" s="16"/>
      <c r="D10" s="17">
        <v>7</v>
      </c>
      <c r="E10" s="173" t="s">
        <v>138</v>
      </c>
      <c r="F10" s="189" t="s">
        <v>150</v>
      </c>
      <c r="G10" s="19" t="str">
        <f t="shared" ca="1" si="0"/>
        <v>Pending</v>
      </c>
      <c r="H10" s="20">
        <v>1</v>
      </c>
      <c r="I10" s="21">
        <v>10</v>
      </c>
      <c r="J10" s="22">
        <v>0</v>
      </c>
      <c r="K10" s="22">
        <f t="shared" si="24"/>
        <v>10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10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10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10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10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10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10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10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10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10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10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10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10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10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103</v>
      </c>
      <c r="B11" s="16" t="s">
        <v>129</v>
      </c>
      <c r="C11" s="16"/>
      <c r="D11" s="17">
        <v>8</v>
      </c>
      <c r="E11" s="173" t="s">
        <v>139</v>
      </c>
      <c r="F11" s="189" t="s">
        <v>150</v>
      </c>
      <c r="G11" s="19" t="str">
        <f t="shared" ca="1" si="0"/>
        <v>Pending</v>
      </c>
      <c r="H11" s="20">
        <v>1</v>
      </c>
      <c r="I11" s="21">
        <v>10</v>
      </c>
      <c r="J11" s="22">
        <v>0</v>
      </c>
      <c r="K11" s="22">
        <f t="shared" si="24"/>
        <v>10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10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10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10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10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10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10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10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10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10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10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10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10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10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 t="s">
        <v>103</v>
      </c>
      <c r="B12" s="16" t="s">
        <v>129</v>
      </c>
      <c r="C12" s="16"/>
      <c r="D12" s="17">
        <v>9</v>
      </c>
      <c r="E12" s="173" t="s">
        <v>140</v>
      </c>
      <c r="F12" s="189" t="s">
        <v>146</v>
      </c>
      <c r="G12" s="19" t="str">
        <f t="shared" ca="1" si="0"/>
        <v>Pending</v>
      </c>
      <c r="H12" s="20">
        <v>1</v>
      </c>
      <c r="I12" s="21">
        <v>10</v>
      </c>
      <c r="J12" s="22">
        <v>0</v>
      </c>
      <c r="K12" s="22">
        <f t="shared" si="24"/>
        <v>10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10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10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10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10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10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10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10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10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10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10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10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10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10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 t="s">
        <v>103</v>
      </c>
      <c r="B13" s="16" t="s">
        <v>129</v>
      </c>
      <c r="C13" s="16"/>
      <c r="D13" s="17">
        <v>10</v>
      </c>
      <c r="E13" s="173" t="s">
        <v>141</v>
      </c>
      <c r="F13" s="189" t="s">
        <v>146</v>
      </c>
      <c r="G13" s="19" t="str">
        <f t="shared" ca="1" si="0"/>
        <v>In Progress</v>
      </c>
      <c r="H13" s="20">
        <v>1</v>
      </c>
      <c r="I13" s="21">
        <v>10</v>
      </c>
      <c r="J13" s="22">
        <v>4</v>
      </c>
      <c r="K13" s="22">
        <f t="shared" si="24"/>
        <v>6</v>
      </c>
      <c r="L13" s="23" t="str">
        <f>IF(SUMPRODUCT($J$64:K$64,$J13:K13)&lt;0.5, "Pending", IF(K13&lt;0.5, "Complete", "In Progress"))</f>
        <v>In Progress</v>
      </c>
      <c r="M13" s="22">
        <v>0</v>
      </c>
      <c r="N13" s="22">
        <f t="shared" si="25"/>
        <v>6</v>
      </c>
      <c r="O13" s="23" t="str">
        <f>IF(SUMPRODUCT($J$64:N$64,$J13:N13)&lt;0.5, "Pending", IF(N13&lt;0.5, "Complete", "In Progress"))</f>
        <v>In Progress</v>
      </c>
      <c r="P13" s="22">
        <v>0</v>
      </c>
      <c r="Q13" s="22">
        <f t="shared" si="26"/>
        <v>6</v>
      </c>
      <c r="R13" s="23" t="str">
        <f>IF(SUMPRODUCT($J$64:Q$64,$J13:Q13)&lt;0.5, "Pending", IF(Q13&lt;0.5, "Complete", "In Progress"))</f>
        <v>In Progress</v>
      </c>
      <c r="S13" s="22">
        <v>0</v>
      </c>
      <c r="T13" s="22">
        <f t="shared" si="27"/>
        <v>6</v>
      </c>
      <c r="U13" s="23" t="str">
        <f>IF(SUMPRODUCT($J$64:T$64,$J13:T13)&lt;0.5, "Pending", IF(T13&lt;0.5, "Complete", "In Progress"))</f>
        <v>In Progress</v>
      </c>
      <c r="V13" s="22">
        <v>0</v>
      </c>
      <c r="W13" s="22">
        <f t="shared" si="28"/>
        <v>6</v>
      </c>
      <c r="X13" s="23" t="str">
        <f>IF(SUMPRODUCT($J$64:W$64,$J13:W13)&lt;0.5, "Pending", IF(W13&lt;0.5, "Complete", "In Progress"))</f>
        <v>In Progress</v>
      </c>
      <c r="Y13" s="22">
        <v>0</v>
      </c>
      <c r="Z13" s="22">
        <f t="shared" si="29"/>
        <v>6</v>
      </c>
      <c r="AA13" s="23" t="str">
        <f>IF(SUMPRODUCT($J$64:Z$64,$J13:Z13)&lt;0.5, "Pending", IF(Z13&lt;0.5, "Complete", "In Progress"))</f>
        <v>In Progress</v>
      </c>
      <c r="AB13" s="22">
        <v>0</v>
      </c>
      <c r="AC13" s="22">
        <f t="shared" si="30"/>
        <v>6</v>
      </c>
      <c r="AD13" s="23" t="str">
        <f>IF(SUMPRODUCT($J$64:AC$64,$J13:AC13)&lt;0.5, "Pending", IF(AC13&lt;0.5, "Complete", "In Progress"))</f>
        <v>In Progress</v>
      </c>
      <c r="AE13" s="22">
        <v>0</v>
      </c>
      <c r="AF13" s="22">
        <f t="shared" si="31"/>
        <v>6</v>
      </c>
      <c r="AG13" s="23" t="str">
        <f>IF(SUMPRODUCT($J$64:AF$64,$J13:AF13)&lt;0.5, "Pending", IF(AF13&lt;0.5, "Complete", "In Progress"))</f>
        <v>In Progress</v>
      </c>
      <c r="AH13" s="22">
        <v>0</v>
      </c>
      <c r="AI13" s="22">
        <f t="shared" si="32"/>
        <v>6</v>
      </c>
      <c r="AJ13" s="23" t="str">
        <f>IF(SUMPRODUCT($J$64:AI$64,$J13:AI13)&lt;0.5, "Pending", IF(AI13&lt;0.5, "Complete", "In Progress"))</f>
        <v>In Progress</v>
      </c>
      <c r="AK13" s="22">
        <v>0</v>
      </c>
      <c r="AL13" s="22">
        <f t="shared" si="33"/>
        <v>6</v>
      </c>
      <c r="AM13" s="23" t="str">
        <f>IF(SUMPRODUCT($J$64:AL$64,$J13:AL13)&lt;0.5, "Pending", IF(AL13&lt;0.5, "Complete", "In Progress"))</f>
        <v>In Progress</v>
      </c>
      <c r="AN13" s="22">
        <v>0</v>
      </c>
      <c r="AO13" s="22">
        <f t="shared" si="34"/>
        <v>6</v>
      </c>
      <c r="AP13" s="23" t="str">
        <f>IF(SUMPRODUCT($J$64:AO$64,$J13:AO13)&lt;0.5, "Pending", IF(AO13&lt;0.5, "Complete", "In Progress"))</f>
        <v>In Progress</v>
      </c>
      <c r="AQ13" s="22">
        <v>0</v>
      </c>
      <c r="AR13" s="22">
        <f t="shared" si="35"/>
        <v>6</v>
      </c>
      <c r="AS13" s="23" t="str">
        <f>IF(SUMPRODUCT($J$64:AR$64,$J13:AR13)&lt;0.5, "Pending", IF(AR13&lt;0.5, "Complete", "In Progress"))</f>
        <v>In Progress</v>
      </c>
      <c r="AT13" s="22">
        <v>0</v>
      </c>
      <c r="AU13" s="22">
        <f t="shared" si="36"/>
        <v>6</v>
      </c>
      <c r="AV13" s="23" t="str">
        <f>IF(SUMPRODUCT($J$64:AU$64,$J13:AU13)&lt;0.5, "Pending", IF(AU13&lt;0.5, "Complete", "In Progress"))</f>
        <v>In Progress</v>
      </c>
      <c r="AW13" s="22">
        <v>0</v>
      </c>
      <c r="AX13" s="22">
        <f t="shared" si="37"/>
        <v>6</v>
      </c>
      <c r="AY13" s="23" t="str">
        <f>IF(SUMPRODUCT($J$64:AX$64,$J13:AX13)&lt;0.5, "Pending", IF(AX13&lt;0.5, "Complete", "In Progress"))</f>
        <v>In Progress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4</v>
      </c>
    </row>
    <row r="14" spans="1:83" x14ac:dyDescent="0.2">
      <c r="A14" s="16" t="s">
        <v>103</v>
      </c>
      <c r="B14" s="16" t="s">
        <v>129</v>
      </c>
      <c r="C14" s="16"/>
      <c r="D14" s="17">
        <v>11</v>
      </c>
      <c r="E14" s="173" t="s">
        <v>142</v>
      </c>
      <c r="F14" s="189" t="s">
        <v>148</v>
      </c>
      <c r="G14" s="19" t="str">
        <f t="shared" ca="1" si="0"/>
        <v>Pending</v>
      </c>
      <c r="H14" s="20">
        <v>1</v>
      </c>
      <c r="I14" s="21">
        <v>10</v>
      </c>
      <c r="J14" s="22">
        <v>0</v>
      </c>
      <c r="K14" s="22">
        <f t="shared" si="24"/>
        <v>10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10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10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10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10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10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10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10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10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10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10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10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10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10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 t="s">
        <v>103</v>
      </c>
      <c r="B15" s="16" t="s">
        <v>129</v>
      </c>
      <c r="C15" s="16"/>
      <c r="D15" s="17">
        <v>12</v>
      </c>
      <c r="E15" s="173" t="s">
        <v>143</v>
      </c>
      <c r="F15" s="189" t="s">
        <v>148</v>
      </c>
      <c r="G15" s="19" t="str">
        <f t="shared" ca="1" si="0"/>
        <v>Pending</v>
      </c>
      <c r="H15" s="20">
        <v>1</v>
      </c>
      <c r="I15" s="21">
        <v>10</v>
      </c>
      <c r="J15" s="22">
        <v>0</v>
      </c>
      <c r="K15" s="22">
        <f t="shared" si="24"/>
        <v>10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10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10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10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10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10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10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10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10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10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10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10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10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10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 t="s">
        <v>103</v>
      </c>
      <c r="B16" s="16" t="s">
        <v>129</v>
      </c>
      <c r="C16" s="16"/>
      <c r="D16" s="17">
        <v>13</v>
      </c>
      <c r="E16" s="173" t="s">
        <v>144</v>
      </c>
      <c r="F16" s="189" t="s">
        <v>150</v>
      </c>
      <c r="G16" s="19" t="str">
        <f t="shared" ca="1" si="0"/>
        <v>Pending</v>
      </c>
      <c r="H16" s="20">
        <v>1</v>
      </c>
      <c r="I16" s="21">
        <v>10</v>
      </c>
      <c r="J16" s="22">
        <v>0</v>
      </c>
      <c r="K16" s="22">
        <f t="shared" si="24"/>
        <v>10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10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10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10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10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10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10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10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10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10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10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10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10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10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hidden="1" x14ac:dyDescent="0.2">
      <c r="A17" s="16"/>
      <c r="B17" s="16"/>
      <c r="C17" s="16"/>
      <c r="D17" s="17"/>
      <c r="E17" s="173"/>
      <c r="F17" s="18" t="s">
        <v>128</v>
      </c>
      <c r="G17" s="19" t="str">
        <f t="shared" ca="1" si="0"/>
        <v>Pending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hidden="1" x14ac:dyDescent="0.2">
      <c r="A18" s="16"/>
      <c r="B18" s="16"/>
      <c r="C18" s="16"/>
      <c r="D18" s="17"/>
      <c r="E18" s="173"/>
      <c r="F18" s="18" t="s">
        <v>128</v>
      </c>
      <c r="G18" s="19" t="str">
        <f t="shared" ca="1" si="0"/>
        <v>Pending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hidden="1" x14ac:dyDescent="0.2">
      <c r="A19" s="16"/>
      <c r="B19" s="16"/>
      <c r="C19" s="16"/>
      <c r="D19" s="17"/>
      <c r="E19" s="173"/>
      <c r="F19" s="18" t="s">
        <v>128</v>
      </c>
      <c r="G19" s="19" t="str">
        <f t="shared" ca="1" si="0"/>
        <v>Pending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hidden="1" x14ac:dyDescent="0.2">
      <c r="A20" s="16"/>
      <c r="B20" s="16"/>
      <c r="C20" s="16"/>
      <c r="D20" s="17"/>
      <c r="E20" s="173"/>
      <c r="F20" s="18" t="s">
        <v>128</v>
      </c>
      <c r="G20" s="19" t="str">
        <f t="shared" ca="1" si="0"/>
        <v>Pending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hidden="1" x14ac:dyDescent="0.2">
      <c r="A21" s="16"/>
      <c r="B21" s="16"/>
      <c r="C21" s="16"/>
      <c r="D21" s="17"/>
      <c r="E21" s="173"/>
      <c r="F21" s="18" t="s">
        <v>128</v>
      </c>
      <c r="G21" s="19" t="str">
        <f t="shared" ca="1" si="0"/>
        <v>Pending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hidden="1" x14ac:dyDescent="0.2">
      <c r="A22" s="16"/>
      <c r="B22" s="16"/>
      <c r="C22" s="16"/>
      <c r="D22" s="17"/>
      <c r="E22" s="173"/>
      <c r="F22" s="18" t="s">
        <v>128</v>
      </c>
      <c r="G22" s="19" t="str">
        <f t="shared" ca="1" si="0"/>
        <v>Pending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hidden="1" x14ac:dyDescent="0.2">
      <c r="A23" s="16"/>
      <c r="B23" s="16"/>
      <c r="C23" s="16"/>
      <c r="D23" s="17"/>
      <c r="E23" s="173"/>
      <c r="F23" s="18" t="s">
        <v>128</v>
      </c>
      <c r="G23" s="19" t="str">
        <f t="shared" ca="1" si="0"/>
        <v>Pending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hidden="1" x14ac:dyDescent="0.2">
      <c r="A24" s="16"/>
      <c r="B24" s="16"/>
      <c r="C24" s="16"/>
      <c r="D24" s="17"/>
      <c r="E24" s="173"/>
      <c r="F24" s="18" t="s">
        <v>128</v>
      </c>
      <c r="G24" s="19" t="str">
        <f t="shared" ca="1" si="0"/>
        <v>Pending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hidden="1" x14ac:dyDescent="0.2">
      <c r="A25" s="16"/>
      <c r="B25" s="16"/>
      <c r="C25" s="16"/>
      <c r="D25" s="17"/>
      <c r="E25" s="173"/>
      <c r="F25" s="18" t="s">
        <v>128</v>
      </c>
      <c r="G25" s="19" t="str">
        <f t="shared" ca="1" si="0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hidden="1" x14ac:dyDescent="0.2">
      <c r="A26" s="16"/>
      <c r="B26" s="16"/>
      <c r="C26" s="16"/>
      <c r="D26" s="17"/>
      <c r="E26" s="173"/>
      <c r="F26" s="18" t="s">
        <v>128</v>
      </c>
      <c r="G26" s="19" t="str">
        <f t="shared" ca="1" si="0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hidden="1" x14ac:dyDescent="0.2">
      <c r="A27" s="16"/>
      <c r="B27" s="16"/>
      <c r="C27" s="16"/>
      <c r="D27" s="17"/>
      <c r="E27" s="173"/>
      <c r="F27" s="18" t="s">
        <v>128</v>
      </c>
      <c r="G27" s="19" t="str">
        <f t="shared" ca="1" si="0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hidden="1" x14ac:dyDescent="0.2">
      <c r="A28" s="16"/>
      <c r="B28" s="16"/>
      <c r="C28" s="16"/>
      <c r="D28" s="17"/>
      <c r="E28" s="173"/>
      <c r="F28" s="18" t="s">
        <v>128</v>
      </c>
      <c r="G28" s="19" t="str">
        <f t="shared" ca="1" si="0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hidden="1" x14ac:dyDescent="0.2">
      <c r="A29" s="16"/>
      <c r="B29" s="16"/>
      <c r="C29" s="16"/>
      <c r="D29" s="17"/>
      <c r="E29" s="173"/>
      <c r="F29" s="18" t="s">
        <v>128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hidden="1" x14ac:dyDescent="0.2">
      <c r="A30" s="16"/>
      <c r="B30" s="16"/>
      <c r="C30" s="16"/>
      <c r="D30" s="17"/>
      <c r="E30" s="173"/>
      <c r="F30" s="18" t="s">
        <v>128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hidden="1" x14ac:dyDescent="0.2">
      <c r="A31" s="16"/>
      <c r="B31" s="16"/>
      <c r="C31" s="16"/>
      <c r="D31" s="17"/>
      <c r="E31" s="173"/>
      <c r="F31" s="18" t="s">
        <v>128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hidden="1" x14ac:dyDescent="0.2">
      <c r="A32" s="16"/>
      <c r="B32" s="16"/>
      <c r="C32" s="16"/>
      <c r="D32" s="17"/>
      <c r="E32" s="173"/>
      <c r="F32" s="18" t="s">
        <v>128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hidden="1" x14ac:dyDescent="0.2">
      <c r="A33" s="16"/>
      <c r="B33" s="16"/>
      <c r="C33" s="16"/>
      <c r="D33" s="17"/>
      <c r="E33" s="173"/>
      <c r="F33" s="18" t="s">
        <v>128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hidden="1" x14ac:dyDescent="0.2">
      <c r="A34" s="16"/>
      <c r="B34" s="16"/>
      <c r="C34" s="16"/>
      <c r="D34" s="17"/>
      <c r="E34" s="173"/>
      <c r="F34" s="18" t="s">
        <v>128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hidden="1" x14ac:dyDescent="0.2">
      <c r="A35" s="16"/>
      <c r="B35" s="16"/>
      <c r="C35" s="16"/>
      <c r="D35" s="17"/>
      <c r="E35" s="173"/>
      <c r="F35" s="18" t="s">
        <v>128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hidden="1" x14ac:dyDescent="0.2">
      <c r="A36" s="16"/>
      <c r="B36" s="16"/>
      <c r="C36" s="16"/>
      <c r="D36" s="17"/>
      <c r="E36" s="173"/>
      <c r="F36" s="18" t="s">
        <v>128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hidden="1" x14ac:dyDescent="0.2">
      <c r="A37" s="16"/>
      <c r="B37" s="16"/>
      <c r="C37" s="16"/>
      <c r="D37" s="17"/>
      <c r="E37" s="173"/>
      <c r="F37" s="18" t="s">
        <v>128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hidden="1" x14ac:dyDescent="0.2">
      <c r="A38" s="16"/>
      <c r="B38" s="16"/>
      <c r="C38" s="16"/>
      <c r="D38" s="17"/>
      <c r="E38" s="173"/>
      <c r="F38" s="18" t="s">
        <v>128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hidden="1" x14ac:dyDescent="0.2">
      <c r="A39" s="16"/>
      <c r="B39" s="16"/>
      <c r="C39" s="16"/>
      <c r="D39" s="17"/>
      <c r="E39" s="173"/>
      <c r="F39" s="18" t="s">
        <v>128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hidden="1" x14ac:dyDescent="0.2">
      <c r="A40" s="16"/>
      <c r="B40" s="16"/>
      <c r="C40" s="16"/>
      <c r="D40" s="17"/>
      <c r="E40" s="173"/>
      <c r="F40" s="18" t="s">
        <v>128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hidden="1" x14ac:dyDescent="0.2">
      <c r="A41" s="16"/>
      <c r="B41" s="16"/>
      <c r="C41" s="16"/>
      <c r="D41" s="17"/>
      <c r="E41" s="173"/>
      <c r="F41" s="18" t="s">
        <v>128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hidden="1" x14ac:dyDescent="0.2">
      <c r="A42" s="16"/>
      <c r="B42" s="16"/>
      <c r="C42" s="16"/>
      <c r="D42" s="17"/>
      <c r="E42" s="173"/>
      <c r="F42" s="18" t="s">
        <v>128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hidden="1" x14ac:dyDescent="0.2">
      <c r="A43" s="16"/>
      <c r="B43" s="16"/>
      <c r="C43" s="16"/>
      <c r="D43" s="17"/>
      <c r="E43" s="173"/>
      <c r="F43" s="18" t="s">
        <v>128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hidden="1" x14ac:dyDescent="0.2">
      <c r="A44" s="16"/>
      <c r="B44" s="16"/>
      <c r="C44" s="16"/>
      <c r="D44" s="17"/>
      <c r="E44" s="173"/>
      <c r="F44" s="18" t="s">
        <v>128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hidden="1" x14ac:dyDescent="0.2">
      <c r="A45" s="16"/>
      <c r="B45" s="16"/>
      <c r="C45" s="16"/>
      <c r="D45" s="17"/>
      <c r="E45" s="173"/>
      <c r="F45" s="18" t="s">
        <v>128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hidden="1" x14ac:dyDescent="0.2">
      <c r="A46" s="16"/>
      <c r="B46" s="16"/>
      <c r="C46" s="16"/>
      <c r="D46" s="17"/>
      <c r="E46" s="173"/>
      <c r="F46" s="18" t="s">
        <v>128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hidden="1" x14ac:dyDescent="0.2">
      <c r="A47" s="16"/>
      <c r="B47" s="16"/>
      <c r="C47" s="16"/>
      <c r="D47" s="17"/>
      <c r="E47" s="173"/>
      <c r="F47" s="18" t="s">
        <v>128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hidden="1" x14ac:dyDescent="0.2">
      <c r="A48" s="16"/>
      <c r="B48" s="16"/>
      <c r="C48" s="16"/>
      <c r="D48" s="17"/>
      <c r="E48" s="173"/>
      <c r="F48" s="18" t="s">
        <v>128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hidden="1" x14ac:dyDescent="0.2">
      <c r="A49" s="16"/>
      <c r="B49" s="16"/>
      <c r="C49" s="16"/>
      <c r="D49" s="17"/>
      <c r="E49" s="173"/>
      <c r="F49" s="18" t="s">
        <v>128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hidden="1" x14ac:dyDescent="0.2">
      <c r="A50" s="16"/>
      <c r="B50" s="16"/>
      <c r="C50" s="16"/>
      <c r="D50" s="17"/>
      <c r="E50" s="173"/>
      <c r="F50" s="18" t="s">
        <v>128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hidden="1" x14ac:dyDescent="0.2">
      <c r="A51" s="16"/>
      <c r="B51" s="16"/>
      <c r="C51" s="16"/>
      <c r="D51" s="17"/>
      <c r="E51" s="173"/>
      <c r="F51" s="18" t="s">
        <v>128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hidden="1" x14ac:dyDescent="0.2">
      <c r="A52" s="16"/>
      <c r="B52" s="16"/>
      <c r="C52" s="16"/>
      <c r="D52" s="17"/>
      <c r="E52" s="173"/>
      <c r="F52" s="18" t="s">
        <v>128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hidden="1" x14ac:dyDescent="0.2">
      <c r="A53" s="16"/>
      <c r="B53" s="16"/>
      <c r="C53" s="16"/>
      <c r="D53" s="17"/>
      <c r="E53" s="173"/>
      <c r="F53" s="18" t="s">
        <v>128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hidden="1" x14ac:dyDescent="0.2">
      <c r="A54" s="16"/>
      <c r="B54" s="16"/>
      <c r="C54" s="16"/>
      <c r="D54" s="17"/>
      <c r="E54" s="173"/>
      <c r="F54" s="18" t="s">
        <v>128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hidden="1" x14ac:dyDescent="0.2">
      <c r="A55" s="16"/>
      <c r="B55" s="16"/>
      <c r="C55" s="16"/>
      <c r="D55" s="17"/>
      <c r="E55" s="173"/>
      <c r="F55" s="18" t="s">
        <v>128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hidden="1" x14ac:dyDescent="0.2">
      <c r="A56" s="16"/>
      <c r="B56" s="16"/>
      <c r="C56" s="16"/>
      <c r="D56" s="17"/>
      <c r="E56" s="173"/>
      <c r="F56" s="18" t="s">
        <v>128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hidden="1" x14ac:dyDescent="0.2">
      <c r="A57" s="16"/>
      <c r="B57" s="16"/>
      <c r="C57" s="16"/>
      <c r="D57" s="17"/>
      <c r="E57" s="173"/>
      <c r="F57" s="18" t="s">
        <v>128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hidden="1" x14ac:dyDescent="0.2">
      <c r="A58" s="16"/>
      <c r="B58" s="16"/>
      <c r="C58" s="16"/>
      <c r="D58" s="17"/>
      <c r="E58" s="173"/>
      <c r="F58" s="18" t="s">
        <v>128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hidden="1" x14ac:dyDescent="0.2">
      <c r="A59" s="16"/>
      <c r="B59" s="16"/>
      <c r="C59" s="16"/>
      <c r="D59" s="17"/>
      <c r="E59" s="173"/>
      <c r="F59" s="18" t="s">
        <v>128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hidden="1" x14ac:dyDescent="0.2">
      <c r="A60" s="16"/>
      <c r="B60" s="16"/>
      <c r="C60" s="16"/>
      <c r="D60" s="17"/>
      <c r="E60" s="173"/>
      <c r="F60" s="18" t="s">
        <v>128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hidden="1" x14ac:dyDescent="0.2">
      <c r="A61" s="16"/>
      <c r="B61" s="16"/>
      <c r="C61" s="16"/>
      <c r="D61" s="17"/>
      <c r="E61" s="172"/>
      <c r="F61" s="18" t="s">
        <v>48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3" t="s">
        <v>9</v>
      </c>
      <c r="K63" s="194"/>
      <c r="L63" s="30">
        <v>1</v>
      </c>
      <c r="M63" s="190" t="s">
        <v>9</v>
      </c>
      <c r="N63" s="192"/>
      <c r="O63" s="30">
        <f>L63+1</f>
        <v>2</v>
      </c>
      <c r="P63" s="190" t="s">
        <v>9</v>
      </c>
      <c r="Q63" s="192"/>
      <c r="R63" s="30">
        <f>O63+1</f>
        <v>3</v>
      </c>
      <c r="S63" s="190" t="s">
        <v>9</v>
      </c>
      <c r="T63" s="192"/>
      <c r="U63" s="30">
        <f>R63+1</f>
        <v>4</v>
      </c>
      <c r="V63" s="190" t="s">
        <v>9</v>
      </c>
      <c r="W63" s="192"/>
      <c r="X63" s="30">
        <f>U63+1</f>
        <v>5</v>
      </c>
      <c r="Y63" s="190" t="s">
        <v>9</v>
      </c>
      <c r="Z63" s="190"/>
      <c r="AA63" s="30">
        <f>X63+1</f>
        <v>6</v>
      </c>
      <c r="AB63" s="190" t="s">
        <v>9</v>
      </c>
      <c r="AC63" s="190"/>
      <c r="AD63" s="30">
        <f>AA63+1</f>
        <v>7</v>
      </c>
      <c r="AE63" s="190" t="s">
        <v>9</v>
      </c>
      <c r="AF63" s="190"/>
      <c r="AG63" s="30">
        <f>AD63+1</f>
        <v>8</v>
      </c>
      <c r="AH63" s="190" t="s">
        <v>9</v>
      </c>
      <c r="AI63" s="190"/>
      <c r="AJ63" s="30">
        <f>AG63+1</f>
        <v>9</v>
      </c>
      <c r="AK63" s="190" t="s">
        <v>9</v>
      </c>
      <c r="AL63" s="190"/>
      <c r="AM63" s="30">
        <f>AJ63+1</f>
        <v>10</v>
      </c>
      <c r="AN63" s="190" t="s">
        <v>9</v>
      </c>
      <c r="AO63" s="190"/>
      <c r="AP63" s="30">
        <f>AM63+1</f>
        <v>11</v>
      </c>
      <c r="AQ63" s="190" t="s">
        <v>9</v>
      </c>
      <c r="AR63" s="190"/>
      <c r="AS63" s="30">
        <f>AP63+1</f>
        <v>12</v>
      </c>
      <c r="AT63" s="190" t="s">
        <v>9</v>
      </c>
      <c r="AU63" s="190"/>
      <c r="AV63" s="30">
        <f>AS63+1</f>
        <v>13</v>
      </c>
      <c r="AW63" s="190" t="s">
        <v>9</v>
      </c>
      <c r="AX63" s="190"/>
      <c r="AY63" s="30">
        <f>AV63+1</f>
        <v>14</v>
      </c>
      <c r="AZ63" s="190" t="s">
        <v>9</v>
      </c>
      <c r="BA63" s="192"/>
      <c r="BB63" s="30" t="e">
        <f>#REF!+1</f>
        <v>#REF!</v>
      </c>
      <c r="BC63" s="190" t="s">
        <v>9</v>
      </c>
      <c r="BD63" s="192"/>
      <c r="BE63" s="30" t="e">
        <f>BB63+1</f>
        <v>#REF!</v>
      </c>
      <c r="BF63" s="190" t="s">
        <v>9</v>
      </c>
      <c r="BG63" s="192"/>
      <c r="BH63" s="30" t="e">
        <f>BE63+1</f>
        <v>#REF!</v>
      </c>
      <c r="BI63" s="190" t="s">
        <v>9</v>
      </c>
      <c r="BJ63" s="192"/>
      <c r="BK63" s="30" t="e">
        <f>BH63+1</f>
        <v>#REF!</v>
      </c>
      <c r="BL63" s="190" t="s">
        <v>9</v>
      </c>
      <c r="BM63" s="192"/>
      <c r="BN63" s="30" t="e">
        <f>BK63+1</f>
        <v>#REF!</v>
      </c>
      <c r="BO63" s="190" t="s">
        <v>9</v>
      </c>
      <c r="BP63" s="192"/>
      <c r="BQ63" s="30" t="e">
        <f>BN63+1</f>
        <v>#REF!</v>
      </c>
      <c r="BR63" s="190" t="s">
        <v>9</v>
      </c>
      <c r="BS63" s="192"/>
      <c r="BT63" s="30" t="e">
        <f>BQ63+1</f>
        <v>#REF!</v>
      </c>
      <c r="BU63" s="190" t="s">
        <v>9</v>
      </c>
      <c r="BV63" s="192"/>
      <c r="BW63" s="30" t="e">
        <f>BT63+1</f>
        <v>#REF!</v>
      </c>
      <c r="BX63" s="190" t="s">
        <v>9</v>
      </c>
      <c r="BY63" s="192"/>
      <c r="BZ63" s="30" t="e">
        <f>BW63+1</f>
        <v>#REF!</v>
      </c>
      <c r="CA63" s="190" t="s">
        <v>9</v>
      </c>
      <c r="CB63" s="192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0">
        <v>1</v>
      </c>
      <c r="K64" s="150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0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0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88</v>
      </c>
      <c r="E67" s="38" t="s">
        <v>84</v>
      </c>
      <c r="F67" s="38"/>
      <c r="G67" s="38"/>
      <c r="H67" s="38"/>
      <c r="I67" s="39">
        <f>SUBTOTAL(109,I$4:I$62)</f>
        <v>130</v>
      </c>
      <c r="J67" s="151">
        <f>SUBTOTAL(109,J$4:J$62)</f>
        <v>10</v>
      </c>
      <c r="K67" s="151">
        <f>SUBTOTAL(109,K$4:K$61)</f>
        <v>120</v>
      </c>
      <c r="L67" s="39"/>
      <c r="M67" s="39">
        <f>SUBTOTAL(109,M$4:M$62)</f>
        <v>0</v>
      </c>
      <c r="N67" s="39">
        <f>SUBTOTAL(109,N$4:N$61)</f>
        <v>120</v>
      </c>
      <c r="O67" s="39"/>
      <c r="P67" s="39">
        <f>SUBTOTAL(109,P$4:P$62)</f>
        <v>0</v>
      </c>
      <c r="Q67" s="39">
        <f>SUBTOTAL(109,Q$4:Q$61)</f>
        <v>120</v>
      </c>
      <c r="R67" s="39"/>
      <c r="S67" s="39">
        <f>SUBTOTAL(109,S$4:S$62)</f>
        <v>0</v>
      </c>
      <c r="T67" s="39">
        <f>SUBTOTAL(109,T$4:T$61)</f>
        <v>120</v>
      </c>
      <c r="U67" s="39"/>
      <c r="V67" s="39">
        <f>SUBTOTAL(109,V$4:V$62)</f>
        <v>0</v>
      </c>
      <c r="W67" s="39">
        <f>SUBTOTAL(109,W$4:W$61)</f>
        <v>120</v>
      </c>
      <c r="X67" s="39"/>
      <c r="Y67" s="39">
        <f>SUBTOTAL(109,Y$4:Y$62)</f>
        <v>0</v>
      </c>
      <c r="Z67" s="39">
        <f>SUBTOTAL(109,Z$4:Z$61)</f>
        <v>120</v>
      </c>
      <c r="AA67" s="39"/>
      <c r="AB67" s="39">
        <f>SUBTOTAL(109,AB$4:AB$62)</f>
        <v>0</v>
      </c>
      <c r="AC67" s="39">
        <f>SUBTOTAL(109,AC$4:AC$61)</f>
        <v>120</v>
      </c>
      <c r="AD67" s="39"/>
      <c r="AE67" s="39">
        <f>SUBTOTAL(109,AE$4:AE$62)</f>
        <v>0</v>
      </c>
      <c r="AF67" s="39">
        <f>SUBTOTAL(109,AF$4:AF$61)</f>
        <v>120</v>
      </c>
      <c r="AG67" s="39"/>
      <c r="AH67" s="39">
        <f>SUBTOTAL(109,AH$4:AH$62)</f>
        <v>0</v>
      </c>
      <c r="AI67" s="39">
        <f>SUBTOTAL(109,AI$4:AI$61)</f>
        <v>120</v>
      </c>
      <c r="AJ67" s="39"/>
      <c r="AK67" s="39">
        <f>SUBTOTAL(109,AK$4:AK$62)</f>
        <v>0</v>
      </c>
      <c r="AL67" s="39">
        <f>SUBTOTAL(109,AL$4:AL$61)</f>
        <v>120</v>
      </c>
      <c r="AM67" s="39"/>
      <c r="AN67" s="39">
        <f>SUBTOTAL(109,AN$4:AN$62)</f>
        <v>0</v>
      </c>
      <c r="AO67" s="39">
        <f>SUBTOTAL(109,AO$4:AO$61)</f>
        <v>120</v>
      </c>
      <c r="AP67" s="39"/>
      <c r="AQ67" s="39">
        <f>SUBTOTAL(109,AQ$4:AQ$62)</f>
        <v>0</v>
      </c>
      <c r="AR67" s="39">
        <f>SUBTOTAL(109,AR$4:AR$61)</f>
        <v>120</v>
      </c>
      <c r="AS67" s="39"/>
      <c r="AT67" s="39">
        <f>SUBTOTAL(109,AT$4:AT$62)</f>
        <v>0</v>
      </c>
      <c r="AU67" s="39">
        <f>SUBTOTAL(109,AU$4:AU$61)</f>
        <v>120</v>
      </c>
      <c r="AV67" s="39"/>
      <c r="AW67" s="39">
        <f>SUBTOTAL(109,AW$4:AW$62)</f>
        <v>0</v>
      </c>
      <c r="AX67" s="39">
        <f>SUBTOTAL(109,AX$4:AX$61)</f>
        <v>120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2"/>
      <c r="K68" s="153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2"/>
      <c r="K69" s="153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>
    <filterColumn colId="3">
      <filters>
        <filter val="martina.dzhibirska@hp.com"/>
        <filter val="simeons@hp.com"/>
        <filter val="vstoyanov@hp.com"/>
      </filters>
    </filterColumn>
  </autoFilter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A4:E61 H4:I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zoomScale="115" zoomScaleNormal="115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4"/>
    </row>
    <row r="19" spans="1:18" x14ac:dyDescent="0.2">
      <c r="A19" s="155" t="str">
        <f>IF(SkipWeekends, "Working Day", "Calendar Day")</f>
        <v>Working Day</v>
      </c>
      <c r="B19" s="156"/>
      <c r="C19" s="157"/>
      <c r="D19" s="158"/>
      <c r="E19" s="157">
        <v>1</v>
      </c>
      <c r="F19" s="157">
        <v>2</v>
      </c>
      <c r="G19" s="157">
        <v>3</v>
      </c>
      <c r="H19" s="157">
        <v>4</v>
      </c>
      <c r="I19" s="157">
        <v>5</v>
      </c>
      <c r="J19" s="157">
        <v>6</v>
      </c>
      <c r="K19" s="157">
        <v>7</v>
      </c>
      <c r="L19" s="157">
        <v>8</v>
      </c>
      <c r="M19" s="157">
        <v>9</v>
      </c>
      <c r="N19" s="157">
        <v>10</v>
      </c>
      <c r="O19" s="157">
        <v>11</v>
      </c>
      <c r="P19" s="157">
        <v>12</v>
      </c>
      <c r="Q19" s="157">
        <v>13</v>
      </c>
      <c r="R19" s="157">
        <v>14</v>
      </c>
    </row>
    <row r="20" spans="1:18" x14ac:dyDescent="0.2">
      <c r="A20" s="155" t="s">
        <v>21</v>
      </c>
      <c r="B20" s="156"/>
      <c r="C20" s="157"/>
      <c r="D20" s="158"/>
      <c r="E20" s="159">
        <f t="shared" ref="E20:R20" si="0">INDEX(SprintDates,1,(E19-1)*BurndownColumns+1)</f>
        <v>42142</v>
      </c>
      <c r="F20" s="159">
        <f t="shared" si="0"/>
        <v>42143</v>
      </c>
      <c r="G20" s="159">
        <f t="shared" si="0"/>
        <v>42144</v>
      </c>
      <c r="H20" s="159">
        <f t="shared" si="0"/>
        <v>42145</v>
      </c>
      <c r="I20" s="159">
        <f t="shared" si="0"/>
        <v>42146</v>
      </c>
      <c r="J20" s="159">
        <f t="shared" si="0"/>
        <v>42149</v>
      </c>
      <c r="K20" s="159">
        <f t="shared" si="0"/>
        <v>42150</v>
      </c>
      <c r="L20" s="159">
        <f t="shared" si="0"/>
        <v>42151</v>
      </c>
      <c r="M20" s="159">
        <f t="shared" si="0"/>
        <v>42152</v>
      </c>
      <c r="N20" s="159">
        <f t="shared" si="0"/>
        <v>42153</v>
      </c>
      <c r="O20" s="159">
        <f t="shared" si="0"/>
        <v>42156</v>
      </c>
      <c r="P20" s="159">
        <f t="shared" si="0"/>
        <v>42157</v>
      </c>
      <c r="Q20" s="159">
        <f t="shared" si="0"/>
        <v>42158</v>
      </c>
      <c r="R20" s="159">
        <f t="shared" si="0"/>
        <v>42159</v>
      </c>
    </row>
    <row r="21" spans="1:18" x14ac:dyDescent="0.2">
      <c r="A21" s="155"/>
      <c r="B21" s="156"/>
      <c r="C21" s="157"/>
      <c r="D21" s="158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</row>
    <row r="22" spans="1:18" x14ac:dyDescent="0.2">
      <c r="A22" s="155" t="s">
        <v>8</v>
      </c>
      <c r="B22" s="157"/>
      <c r="C22" s="160"/>
      <c r="D22" s="161"/>
      <c r="E22" s="157">
        <f t="shared" ref="E22:R22" ca="1" si="1">IF(E20&gt;TODAY(), #N/A, SUM(INDEX(Burndown,,(E19-1)*BurndownColumns+HoursLeftColumn)))</f>
        <v>120</v>
      </c>
      <c r="F22" s="157">
        <f t="shared" ca="1" si="1"/>
        <v>120</v>
      </c>
      <c r="G22" s="157" t="e">
        <f t="shared" ca="1" si="1"/>
        <v>#N/A</v>
      </c>
      <c r="H22" s="157" t="e">
        <f t="shared" ca="1" si="1"/>
        <v>#N/A</v>
      </c>
      <c r="I22" s="157" t="e">
        <f t="shared" ca="1" si="1"/>
        <v>#N/A</v>
      </c>
      <c r="J22" s="157" t="e">
        <f t="shared" ca="1" si="1"/>
        <v>#N/A</v>
      </c>
      <c r="K22" s="157" t="e">
        <f t="shared" ca="1" si="1"/>
        <v>#N/A</v>
      </c>
      <c r="L22" s="157" t="e">
        <f t="shared" ca="1" si="1"/>
        <v>#N/A</v>
      </c>
      <c r="M22" s="157" t="e">
        <f t="shared" ca="1" si="1"/>
        <v>#N/A</v>
      </c>
      <c r="N22" s="157" t="e">
        <f t="shared" ca="1" si="1"/>
        <v>#N/A</v>
      </c>
      <c r="O22" s="157" t="e">
        <f t="shared" ca="1" si="1"/>
        <v>#N/A</v>
      </c>
      <c r="P22" s="157" t="e">
        <f t="shared" ca="1" si="1"/>
        <v>#N/A</v>
      </c>
      <c r="Q22" s="157" t="e">
        <f t="shared" ca="1" si="1"/>
        <v>#N/A</v>
      </c>
      <c r="R22" s="157" t="e">
        <f t="shared" ca="1" si="1"/>
        <v>#N/A</v>
      </c>
    </row>
    <row r="23" spans="1:18" x14ac:dyDescent="0.2">
      <c r="A23" s="162" t="s">
        <v>20</v>
      </c>
      <c r="B23" s="160"/>
      <c r="C23" s="160"/>
      <c r="D23" s="161"/>
      <c r="E23" s="158">
        <f t="shared" ref="E23:R23" ca="1" si="2">IF(E20&gt;TODAY(), #N/A, SUM(INDEX(Burndown,,(E19-1)*BurndownColumns+HoursSpentColumn)))</f>
        <v>10</v>
      </c>
      <c r="F23" s="158">
        <f t="shared" ca="1" si="2"/>
        <v>0</v>
      </c>
      <c r="G23" s="158" t="e">
        <f t="shared" ca="1" si="2"/>
        <v>#N/A</v>
      </c>
      <c r="H23" s="158" t="e">
        <f t="shared" ca="1" si="2"/>
        <v>#N/A</v>
      </c>
      <c r="I23" s="158" t="e">
        <f t="shared" ca="1" si="2"/>
        <v>#N/A</v>
      </c>
      <c r="J23" s="158" t="e">
        <f t="shared" ca="1" si="2"/>
        <v>#N/A</v>
      </c>
      <c r="K23" s="158" t="e">
        <f t="shared" ca="1" si="2"/>
        <v>#N/A</v>
      </c>
      <c r="L23" s="158" t="e">
        <f t="shared" ca="1" si="2"/>
        <v>#N/A</v>
      </c>
      <c r="M23" s="158" t="e">
        <f t="shared" ca="1" si="2"/>
        <v>#N/A</v>
      </c>
      <c r="N23" s="158" t="e">
        <f t="shared" ca="1" si="2"/>
        <v>#N/A</v>
      </c>
      <c r="O23" s="158" t="e">
        <f t="shared" ca="1" si="2"/>
        <v>#N/A</v>
      </c>
      <c r="P23" s="158" t="e">
        <f t="shared" ca="1" si="2"/>
        <v>#N/A</v>
      </c>
      <c r="Q23" s="158" t="e">
        <f t="shared" ca="1" si="2"/>
        <v>#N/A</v>
      </c>
      <c r="R23" s="158" t="e">
        <f t="shared" ca="1" si="2"/>
        <v>#N/A</v>
      </c>
    </row>
    <row r="24" spans="1:18" x14ac:dyDescent="0.2">
      <c r="A24" s="162" t="s">
        <v>3</v>
      </c>
      <c r="B24" s="160"/>
      <c r="C24" s="160"/>
      <c r="D24" s="161"/>
      <c r="E24" s="158">
        <f ca="1">IF(E20&gt;TODAY(), #N/A, SUM($E23:E23))</f>
        <v>10</v>
      </c>
      <c r="F24" s="158">
        <f ca="1">IF(F20&gt;TODAY(), #N/A, SUM($E23:F23))</f>
        <v>10</v>
      </c>
      <c r="G24" s="158" t="e">
        <f ca="1">IF(G20&gt;TODAY(), #N/A, SUM($E23:G23))</f>
        <v>#N/A</v>
      </c>
      <c r="H24" s="158" t="e">
        <f ca="1">IF(H20&gt;TODAY(), #N/A, SUM($E23:H23))</f>
        <v>#N/A</v>
      </c>
      <c r="I24" s="158" t="e">
        <f ca="1">IF(I20&gt;TODAY(), #N/A, SUM($E23:I23))</f>
        <v>#N/A</v>
      </c>
      <c r="J24" s="158" t="e">
        <f ca="1">IF(J20&gt;TODAY(), #N/A, SUM($E23:J23))</f>
        <v>#N/A</v>
      </c>
      <c r="K24" s="158" t="e">
        <f ca="1">IF(K20&gt;TODAY(), #N/A, SUM($E23:K23))</f>
        <v>#N/A</v>
      </c>
      <c r="L24" s="158" t="e">
        <f ca="1">IF(L20&gt;TODAY(), #N/A, SUM($E23:L23))</f>
        <v>#N/A</v>
      </c>
      <c r="M24" s="158" t="e">
        <f ca="1">IF(M20&gt;TODAY(), #N/A, SUM($E23:M23))</f>
        <v>#N/A</v>
      </c>
      <c r="N24" s="158" t="e">
        <f ca="1">IF(N20&gt;TODAY(), #N/A, SUM($E23:N23))</f>
        <v>#N/A</v>
      </c>
      <c r="O24" s="158" t="e">
        <f ca="1">IF(O20&gt;TODAY(), #N/A, SUM($E23:O23))</f>
        <v>#N/A</v>
      </c>
      <c r="P24" s="158" t="e">
        <f ca="1">IF(P20&gt;TODAY(), #N/A, SUM($E23:P23))</f>
        <v>#N/A</v>
      </c>
      <c r="Q24" s="158" t="e">
        <f ca="1">IF(Q20&gt;TODAY(), #N/A, SUM($E23:Q23))</f>
        <v>#N/A</v>
      </c>
      <c r="R24" s="158" t="e">
        <f ca="1">IF(R20&gt;TODAY(), #N/A, SUM($E23:R23))</f>
        <v>#N/A</v>
      </c>
    </row>
    <row r="25" spans="1:18" x14ac:dyDescent="0.2">
      <c r="A25" s="162" t="s">
        <v>22</v>
      </c>
      <c r="B25" s="160"/>
      <c r="C25" s="160"/>
      <c r="D25" s="161"/>
      <c r="E25" s="158">
        <f t="shared" ref="E25:R25" ca="1" si="3">IF(E20&gt;TODAY(), #N/A, E22+E24)</f>
        <v>130</v>
      </c>
      <c r="F25" s="158">
        <f t="shared" ca="1" si="3"/>
        <v>130</v>
      </c>
      <c r="G25" s="158" t="e">
        <f t="shared" ca="1" si="3"/>
        <v>#N/A</v>
      </c>
      <c r="H25" s="158" t="e">
        <f t="shared" ca="1" si="3"/>
        <v>#N/A</v>
      </c>
      <c r="I25" s="158" t="e">
        <f t="shared" ca="1" si="3"/>
        <v>#N/A</v>
      </c>
      <c r="J25" s="158" t="e">
        <f t="shared" ca="1" si="3"/>
        <v>#N/A</v>
      </c>
      <c r="K25" s="158" t="e">
        <f t="shared" ca="1" si="3"/>
        <v>#N/A</v>
      </c>
      <c r="L25" s="158" t="e">
        <f t="shared" ca="1" si="3"/>
        <v>#N/A</v>
      </c>
      <c r="M25" s="158" t="e">
        <f t="shared" ca="1" si="3"/>
        <v>#N/A</v>
      </c>
      <c r="N25" s="158" t="e">
        <f t="shared" ca="1" si="3"/>
        <v>#N/A</v>
      </c>
      <c r="O25" s="158" t="e">
        <f t="shared" ca="1" si="3"/>
        <v>#N/A</v>
      </c>
      <c r="P25" s="158" t="e">
        <f t="shared" ca="1" si="3"/>
        <v>#N/A</v>
      </c>
      <c r="Q25" s="158" t="e">
        <f t="shared" ca="1" si="3"/>
        <v>#N/A</v>
      </c>
      <c r="R25" s="158" t="e">
        <f t="shared" ca="1" si="3"/>
        <v>#N/A</v>
      </c>
    </row>
    <row r="26" spans="1:18" x14ac:dyDescent="0.2">
      <c r="A26" s="162"/>
      <c r="B26" s="160"/>
      <c r="C26" s="160"/>
      <c r="D26" s="161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</row>
    <row r="27" spans="1:18" x14ac:dyDescent="0.2">
      <c r="A27" s="155" t="s">
        <v>4</v>
      </c>
      <c r="B27" s="160"/>
      <c r="C27" s="157"/>
      <c r="D27" s="161"/>
      <c r="E27" s="163">
        <f t="shared" ref="E27:R27" ca="1" si="4">IF(E20&gt;TODAY(), #N/A, E24/E19)</f>
        <v>10</v>
      </c>
      <c r="F27" s="163">
        <f t="shared" ca="1" si="4"/>
        <v>5</v>
      </c>
      <c r="G27" s="163" t="e">
        <f t="shared" ca="1" si="4"/>
        <v>#N/A</v>
      </c>
      <c r="H27" s="163" t="e">
        <f t="shared" ca="1" si="4"/>
        <v>#N/A</v>
      </c>
      <c r="I27" s="163" t="e">
        <f t="shared" ca="1" si="4"/>
        <v>#N/A</v>
      </c>
      <c r="J27" s="163" t="e">
        <f t="shared" ca="1" si="4"/>
        <v>#N/A</v>
      </c>
      <c r="K27" s="163" t="e">
        <f t="shared" ca="1" si="4"/>
        <v>#N/A</v>
      </c>
      <c r="L27" s="163" t="e">
        <f t="shared" ca="1" si="4"/>
        <v>#N/A</v>
      </c>
      <c r="M27" s="163" t="e">
        <f t="shared" ca="1" si="4"/>
        <v>#N/A</v>
      </c>
      <c r="N27" s="163" t="e">
        <f t="shared" ca="1" si="4"/>
        <v>#N/A</v>
      </c>
      <c r="O27" s="163" t="e">
        <f t="shared" ca="1" si="4"/>
        <v>#N/A</v>
      </c>
      <c r="P27" s="163" t="e">
        <f t="shared" ca="1" si="4"/>
        <v>#N/A</v>
      </c>
      <c r="Q27" s="163" t="e">
        <f t="shared" ca="1" si="4"/>
        <v>#N/A</v>
      </c>
      <c r="R27" s="163" t="e">
        <f t="shared" ca="1" si="4"/>
        <v>#N/A</v>
      </c>
    </row>
    <row r="28" spans="1:18" x14ac:dyDescent="0.2">
      <c r="A28" s="162" t="s">
        <v>5</v>
      </c>
      <c r="B28" s="160"/>
      <c r="C28" s="160"/>
      <c r="D28" s="161"/>
      <c r="E28" s="164">
        <f t="shared" ref="E28:R28" ca="1" si="5">IF(E20&gt;TODAY(), #N/A, IF(E27=0, SprintStart, E20 + (E22/E27)))</f>
        <v>42154</v>
      </c>
      <c r="F28" s="164">
        <f t="shared" ca="1" si="5"/>
        <v>42167</v>
      </c>
      <c r="G28" s="164" t="e">
        <f t="shared" ca="1" si="5"/>
        <v>#N/A</v>
      </c>
      <c r="H28" s="164" t="e">
        <f t="shared" ca="1" si="5"/>
        <v>#N/A</v>
      </c>
      <c r="I28" s="164" t="e">
        <f t="shared" ca="1" si="5"/>
        <v>#N/A</v>
      </c>
      <c r="J28" s="164" t="e">
        <f t="shared" ca="1" si="5"/>
        <v>#N/A</v>
      </c>
      <c r="K28" s="164" t="e">
        <f t="shared" ca="1" si="5"/>
        <v>#N/A</v>
      </c>
      <c r="L28" s="164" t="e">
        <f t="shared" ca="1" si="5"/>
        <v>#N/A</v>
      </c>
      <c r="M28" s="164" t="e">
        <f t="shared" ca="1" si="5"/>
        <v>#N/A</v>
      </c>
      <c r="N28" s="164" t="e">
        <f t="shared" ca="1" si="5"/>
        <v>#N/A</v>
      </c>
      <c r="O28" s="164" t="e">
        <f t="shared" ca="1" si="5"/>
        <v>#N/A</v>
      </c>
      <c r="P28" s="164" t="e">
        <f t="shared" ca="1" si="5"/>
        <v>#N/A</v>
      </c>
      <c r="Q28" s="164" t="e">
        <f t="shared" ca="1" si="5"/>
        <v>#N/A</v>
      </c>
      <c r="R28" s="164" t="e">
        <f t="shared" ca="1" si="5"/>
        <v>#N/A</v>
      </c>
    </row>
    <row r="29" spans="1:18" x14ac:dyDescent="0.2">
      <c r="A29" s="162" t="s">
        <v>31</v>
      </c>
      <c r="B29" s="160"/>
      <c r="C29" s="160"/>
      <c r="D29" s="161"/>
      <c r="E29" s="164">
        <f t="shared" ref="E29:R29" ca="1" si="6">IF(E$20&gt;TODAY(), #N/A, IF(E$33&gt;0, SprintStart+((E$25*E$19)/E$33)-1, SprintStart))</f>
        <v>42142</v>
      </c>
      <c r="F29" s="164">
        <f t="shared" ca="1" si="6"/>
        <v>42142</v>
      </c>
      <c r="G29" s="164" t="e">
        <f t="shared" ca="1" si="6"/>
        <v>#N/A</v>
      </c>
      <c r="H29" s="164" t="e">
        <f t="shared" ca="1" si="6"/>
        <v>#N/A</v>
      </c>
      <c r="I29" s="164" t="e">
        <f t="shared" ca="1" si="6"/>
        <v>#N/A</v>
      </c>
      <c r="J29" s="164" t="e">
        <f t="shared" ca="1" si="6"/>
        <v>#N/A</v>
      </c>
      <c r="K29" s="164" t="e">
        <f t="shared" ca="1" si="6"/>
        <v>#N/A</v>
      </c>
      <c r="L29" s="164" t="e">
        <f t="shared" ca="1" si="6"/>
        <v>#N/A</v>
      </c>
      <c r="M29" s="164" t="e">
        <f t="shared" ca="1" si="6"/>
        <v>#N/A</v>
      </c>
      <c r="N29" s="164" t="e">
        <f t="shared" ca="1" si="6"/>
        <v>#N/A</v>
      </c>
      <c r="O29" s="164" t="e">
        <f t="shared" ca="1" si="6"/>
        <v>#N/A</v>
      </c>
      <c r="P29" s="164" t="e">
        <f t="shared" ca="1" si="6"/>
        <v>#N/A</v>
      </c>
      <c r="Q29" s="164" t="e">
        <f t="shared" ca="1" si="6"/>
        <v>#N/A</v>
      </c>
      <c r="R29" s="164" t="e">
        <f t="shared" ca="1" si="6"/>
        <v>#N/A</v>
      </c>
    </row>
    <row r="30" spans="1:18" x14ac:dyDescent="0.2">
      <c r="A30" s="162"/>
      <c r="B30" s="160"/>
      <c r="C30" s="160"/>
      <c r="D30" s="161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</row>
    <row r="31" spans="1:18" x14ac:dyDescent="0.2">
      <c r="A31" s="162" t="s">
        <v>27</v>
      </c>
      <c r="B31" s="160"/>
      <c r="C31" s="160"/>
      <c r="D31" s="161"/>
      <c r="E31" s="160">
        <f t="shared" ref="E31:R31" ca="1" si="7">IF(E$20&gt;TODAY(), #N/A, SUMIF(INDEX(Burndown,,(E$19-1)*BurndownColumns+StatusColumn), "=Pending",INDEX(Burndown,,(E$19-1)*BurndownColumns+HoursLeftColumn)))</f>
        <v>100</v>
      </c>
      <c r="F31" s="160">
        <f t="shared" ca="1" si="7"/>
        <v>100</v>
      </c>
      <c r="G31" s="160" t="e">
        <f t="shared" ca="1" si="7"/>
        <v>#N/A</v>
      </c>
      <c r="H31" s="160" t="e">
        <f t="shared" ca="1" si="7"/>
        <v>#N/A</v>
      </c>
      <c r="I31" s="160" t="e">
        <f t="shared" ca="1" si="7"/>
        <v>#N/A</v>
      </c>
      <c r="J31" s="160" t="e">
        <f t="shared" ca="1" si="7"/>
        <v>#N/A</v>
      </c>
      <c r="K31" s="160" t="e">
        <f t="shared" ca="1" si="7"/>
        <v>#N/A</v>
      </c>
      <c r="L31" s="160" t="e">
        <f t="shared" ca="1" si="7"/>
        <v>#N/A</v>
      </c>
      <c r="M31" s="160" t="e">
        <f t="shared" ca="1" si="7"/>
        <v>#N/A</v>
      </c>
      <c r="N31" s="160" t="e">
        <f t="shared" ca="1" si="7"/>
        <v>#N/A</v>
      </c>
      <c r="O31" s="160" t="e">
        <f t="shared" ca="1" si="7"/>
        <v>#N/A</v>
      </c>
      <c r="P31" s="160" t="e">
        <f t="shared" ca="1" si="7"/>
        <v>#N/A</v>
      </c>
      <c r="Q31" s="160" t="e">
        <f t="shared" ca="1" si="7"/>
        <v>#N/A</v>
      </c>
      <c r="R31" s="160" t="e">
        <f t="shared" ca="1" si="7"/>
        <v>#N/A</v>
      </c>
    </row>
    <row r="32" spans="1:18" x14ac:dyDescent="0.2">
      <c r="A32" s="162" t="s">
        <v>28</v>
      </c>
      <c r="B32" s="160"/>
      <c r="C32" s="160"/>
      <c r="D32" s="161"/>
      <c r="E32" s="165">
        <f t="shared" ref="E32:R32" ca="1" si="8">E$22-E$31+E$24-E$33</f>
        <v>30</v>
      </c>
      <c r="F32" s="165">
        <f t="shared" ca="1" si="8"/>
        <v>30</v>
      </c>
      <c r="G32" s="165" t="e">
        <f t="shared" ca="1" si="8"/>
        <v>#N/A</v>
      </c>
      <c r="H32" s="165" t="e">
        <f t="shared" ca="1" si="8"/>
        <v>#N/A</v>
      </c>
      <c r="I32" s="165" t="e">
        <f t="shared" ca="1" si="8"/>
        <v>#N/A</v>
      </c>
      <c r="J32" s="165" t="e">
        <f t="shared" ca="1" si="8"/>
        <v>#N/A</v>
      </c>
      <c r="K32" s="165" t="e">
        <f t="shared" ca="1" si="8"/>
        <v>#N/A</v>
      </c>
      <c r="L32" s="165" t="e">
        <f t="shared" ca="1" si="8"/>
        <v>#N/A</v>
      </c>
      <c r="M32" s="165" t="e">
        <f t="shared" ca="1" si="8"/>
        <v>#N/A</v>
      </c>
      <c r="N32" s="165" t="e">
        <f t="shared" ca="1" si="8"/>
        <v>#N/A</v>
      </c>
      <c r="O32" s="165" t="e">
        <f t="shared" ca="1" si="8"/>
        <v>#N/A</v>
      </c>
      <c r="P32" s="165" t="e">
        <f t="shared" ca="1" si="8"/>
        <v>#N/A</v>
      </c>
      <c r="Q32" s="165" t="e">
        <f t="shared" ca="1" si="8"/>
        <v>#N/A</v>
      </c>
      <c r="R32" s="165" t="e">
        <f t="shared" ca="1" si="8"/>
        <v>#N/A</v>
      </c>
    </row>
    <row r="33" spans="1:34" x14ac:dyDescent="0.2">
      <c r="A33" s="162" t="s">
        <v>29</v>
      </c>
      <c r="B33" s="160"/>
      <c r="C33" s="160"/>
      <c r="D33" s="161"/>
      <c r="E33" s="160">
        <f t="shared" ref="E33:R33" ca="1" si="9">IF(E$20&gt;TODAY(), #N/A, SUMIF(INDEX(Burndown,,(E$19-1)*BurndownColumns+StatusColumn), "=Complete",TotalEffort))</f>
        <v>0</v>
      </c>
      <c r="F33" s="160">
        <f t="shared" ca="1" si="9"/>
        <v>0</v>
      </c>
      <c r="G33" s="160" t="e">
        <f t="shared" ca="1" si="9"/>
        <v>#N/A</v>
      </c>
      <c r="H33" s="160" t="e">
        <f t="shared" ca="1" si="9"/>
        <v>#N/A</v>
      </c>
      <c r="I33" s="160" t="e">
        <f t="shared" ca="1" si="9"/>
        <v>#N/A</v>
      </c>
      <c r="J33" s="160" t="e">
        <f t="shared" ca="1" si="9"/>
        <v>#N/A</v>
      </c>
      <c r="K33" s="160" t="e">
        <f t="shared" ca="1" si="9"/>
        <v>#N/A</v>
      </c>
      <c r="L33" s="160" t="e">
        <f t="shared" ca="1" si="9"/>
        <v>#N/A</v>
      </c>
      <c r="M33" s="160" t="e">
        <f t="shared" ca="1" si="9"/>
        <v>#N/A</v>
      </c>
      <c r="N33" s="160" t="e">
        <f t="shared" ca="1" si="9"/>
        <v>#N/A</v>
      </c>
      <c r="O33" s="160" t="e">
        <f t="shared" ca="1" si="9"/>
        <v>#N/A</v>
      </c>
      <c r="P33" s="160" t="e">
        <f t="shared" ca="1" si="9"/>
        <v>#N/A</v>
      </c>
      <c r="Q33" s="160" t="e">
        <f t="shared" ca="1" si="9"/>
        <v>#N/A</v>
      </c>
      <c r="R33" s="160" t="e">
        <f t="shared" ca="1" si="9"/>
        <v>#N/A</v>
      </c>
    </row>
    <row r="34" spans="1:34" x14ac:dyDescent="0.2">
      <c r="A34" s="162"/>
      <c r="B34" s="160"/>
      <c r="C34" s="160"/>
      <c r="D34" s="161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</row>
    <row r="35" spans="1:34" x14ac:dyDescent="0.2">
      <c r="A35" s="162" t="s">
        <v>10</v>
      </c>
      <c r="B35" s="160"/>
      <c r="C35" s="160"/>
      <c r="D35" s="161"/>
      <c r="E35" s="160">
        <f t="shared" ref="E35:R35" ca="1" si="10">IF(E20&gt;TODAY(), #N/A, COUNTIF(INDEX(Burndown,,(E19-1)*BurndownColumns+StatusColumn), "=Pending"))</f>
        <v>55</v>
      </c>
      <c r="F35" s="160">
        <f t="shared" ca="1" si="10"/>
        <v>55</v>
      </c>
      <c r="G35" s="160" t="e">
        <f t="shared" ca="1" si="10"/>
        <v>#N/A</v>
      </c>
      <c r="H35" s="160" t="e">
        <f t="shared" ca="1" si="10"/>
        <v>#N/A</v>
      </c>
      <c r="I35" s="160" t="e">
        <f t="shared" ca="1" si="10"/>
        <v>#N/A</v>
      </c>
      <c r="J35" s="160" t="e">
        <f t="shared" ca="1" si="10"/>
        <v>#N/A</v>
      </c>
      <c r="K35" s="160" t="e">
        <f t="shared" ca="1" si="10"/>
        <v>#N/A</v>
      </c>
      <c r="L35" s="160" t="e">
        <f t="shared" ca="1" si="10"/>
        <v>#N/A</v>
      </c>
      <c r="M35" s="160" t="e">
        <f t="shared" ca="1" si="10"/>
        <v>#N/A</v>
      </c>
      <c r="N35" s="160" t="e">
        <f t="shared" ca="1" si="10"/>
        <v>#N/A</v>
      </c>
      <c r="O35" s="160" t="e">
        <f t="shared" ca="1" si="10"/>
        <v>#N/A</v>
      </c>
      <c r="P35" s="160" t="e">
        <f t="shared" ca="1" si="10"/>
        <v>#N/A</v>
      </c>
      <c r="Q35" s="160" t="e">
        <f t="shared" ca="1" si="10"/>
        <v>#N/A</v>
      </c>
      <c r="R35" s="160" t="e">
        <f t="shared" ca="1" si="10"/>
        <v>#N/A</v>
      </c>
    </row>
    <row r="36" spans="1:34" x14ac:dyDescent="0.2">
      <c r="A36" s="162" t="s">
        <v>6</v>
      </c>
      <c r="B36" s="160"/>
      <c r="C36" s="160"/>
      <c r="D36" s="161"/>
      <c r="E36" s="160">
        <f t="shared" ref="E36:R36" ca="1" si="11">IF(E20&gt;TODAY(), #N/A, COUNTIF(INDEX(Burndown,,(E19-1)*BurndownColumns+StatusColumn), "=In Progress"))</f>
        <v>3</v>
      </c>
      <c r="F36" s="160">
        <f t="shared" ca="1" si="11"/>
        <v>3</v>
      </c>
      <c r="G36" s="160" t="e">
        <f t="shared" ca="1" si="11"/>
        <v>#N/A</v>
      </c>
      <c r="H36" s="160" t="e">
        <f t="shared" ca="1" si="11"/>
        <v>#N/A</v>
      </c>
      <c r="I36" s="160" t="e">
        <f t="shared" ca="1" si="11"/>
        <v>#N/A</v>
      </c>
      <c r="J36" s="160" t="e">
        <f t="shared" ca="1" si="11"/>
        <v>#N/A</v>
      </c>
      <c r="K36" s="160" t="e">
        <f t="shared" ca="1" si="11"/>
        <v>#N/A</v>
      </c>
      <c r="L36" s="160" t="e">
        <f t="shared" ca="1" si="11"/>
        <v>#N/A</v>
      </c>
      <c r="M36" s="160" t="e">
        <f t="shared" ca="1" si="11"/>
        <v>#N/A</v>
      </c>
      <c r="N36" s="160" t="e">
        <f t="shared" ca="1" si="11"/>
        <v>#N/A</v>
      </c>
      <c r="O36" s="160" t="e">
        <f t="shared" ca="1" si="11"/>
        <v>#N/A</v>
      </c>
      <c r="P36" s="160" t="e">
        <f t="shared" ca="1" si="11"/>
        <v>#N/A</v>
      </c>
      <c r="Q36" s="160" t="e">
        <f t="shared" ca="1" si="11"/>
        <v>#N/A</v>
      </c>
      <c r="R36" s="160" t="e">
        <f t="shared" ca="1" si="11"/>
        <v>#N/A</v>
      </c>
    </row>
    <row r="37" spans="1:34" x14ac:dyDescent="0.2">
      <c r="A37" s="162" t="s">
        <v>7</v>
      </c>
      <c r="B37" s="160"/>
      <c r="C37" s="160"/>
      <c r="D37" s="161"/>
      <c r="E37" s="160">
        <f t="shared" ref="E37:R37" ca="1" si="12">IF(E20&gt;TODAY(), #N/A, COUNTIF(INDEX(Burndown,,(E19-1)*BurndownColumns+StatusColumn), "=Complete"))</f>
        <v>0</v>
      </c>
      <c r="F37" s="160">
        <f t="shared" ca="1" si="12"/>
        <v>0</v>
      </c>
      <c r="G37" s="160" t="e">
        <f t="shared" ca="1" si="12"/>
        <v>#N/A</v>
      </c>
      <c r="H37" s="160" t="e">
        <f t="shared" ca="1" si="12"/>
        <v>#N/A</v>
      </c>
      <c r="I37" s="160" t="e">
        <f t="shared" ca="1" si="12"/>
        <v>#N/A</v>
      </c>
      <c r="J37" s="160" t="e">
        <f t="shared" ca="1" si="12"/>
        <v>#N/A</v>
      </c>
      <c r="K37" s="160" t="e">
        <f t="shared" ca="1" si="12"/>
        <v>#N/A</v>
      </c>
      <c r="L37" s="160" t="e">
        <f t="shared" ca="1" si="12"/>
        <v>#N/A</v>
      </c>
      <c r="M37" s="160" t="e">
        <f t="shared" ca="1" si="12"/>
        <v>#N/A</v>
      </c>
      <c r="N37" s="160" t="e">
        <f t="shared" ca="1" si="12"/>
        <v>#N/A</v>
      </c>
      <c r="O37" s="160" t="e">
        <f t="shared" ca="1" si="12"/>
        <v>#N/A</v>
      </c>
      <c r="P37" s="160" t="e">
        <f t="shared" ca="1" si="12"/>
        <v>#N/A</v>
      </c>
      <c r="Q37" s="160" t="e">
        <f t="shared" ca="1" si="12"/>
        <v>#N/A</v>
      </c>
      <c r="R37" s="160" t="e">
        <f t="shared" ca="1" si="12"/>
        <v>#N/A</v>
      </c>
    </row>
    <row r="38" spans="1:34" x14ac:dyDescent="0.2">
      <c r="A38" s="145"/>
      <c r="B38" s="145"/>
      <c r="C38" s="145"/>
      <c r="D38" s="145"/>
      <c r="E38" s="145"/>
      <c r="F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  <c r="AH38" s="145"/>
    </row>
    <row r="39" spans="1:34" x14ac:dyDescent="0.2">
      <c r="A39" s="162" t="s">
        <v>25</v>
      </c>
      <c r="B39" s="160"/>
      <c r="C39" s="160"/>
      <c r="D39" s="160"/>
      <c r="E39" s="157"/>
      <c r="F39" s="160"/>
      <c r="G39" s="162" t="s">
        <v>24</v>
      </c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  <c r="AH39" s="145"/>
    </row>
    <row r="40" spans="1:34" ht="13.5" customHeight="1" x14ac:dyDescent="0.2">
      <c r="A40" s="162"/>
      <c r="B40" s="160" t="s">
        <v>26</v>
      </c>
      <c r="C40" s="160"/>
      <c r="D40" s="160"/>
      <c r="E40" s="160">
        <v>1</v>
      </c>
      <c r="F40" s="160"/>
      <c r="G40" s="160" t="s">
        <v>85</v>
      </c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  <c r="AH40" s="145"/>
    </row>
    <row r="41" spans="1:34" ht="13.5" customHeight="1" x14ac:dyDescent="0.2">
      <c r="A41" s="162"/>
      <c r="B41" s="160" t="s">
        <v>86</v>
      </c>
      <c r="C41" s="160"/>
      <c r="D41" s="160"/>
      <c r="E41" s="160">
        <v>0</v>
      </c>
      <c r="F41" s="160"/>
      <c r="G41" s="160" t="s">
        <v>87</v>
      </c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  <c r="AH41" s="145"/>
    </row>
    <row r="42" spans="1:34" x14ac:dyDescent="0.2">
      <c r="A42" s="162"/>
      <c r="B42" s="160"/>
      <c r="C42" s="160"/>
      <c r="D42" s="160"/>
      <c r="E42" s="157"/>
      <c r="F42" s="160"/>
      <c r="G42" s="166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  <c r="AH42" s="145"/>
    </row>
    <row r="43" spans="1:34" x14ac:dyDescent="0.2">
      <c r="A43" s="162" t="s">
        <v>17</v>
      </c>
      <c r="B43" s="160"/>
      <c r="C43" s="160"/>
      <c r="D43" s="160"/>
      <c r="E43" s="157"/>
      <c r="F43" s="160"/>
      <c r="G43" s="160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</row>
    <row r="44" spans="1:34" x14ac:dyDescent="0.2">
      <c r="A44" s="160"/>
      <c r="B44" s="160" t="s">
        <v>15</v>
      </c>
      <c r="C44" s="160"/>
      <c r="D44" s="160"/>
      <c r="E44" s="160">
        <v>3</v>
      </c>
      <c r="F44" s="160"/>
      <c r="G44" s="160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  <c r="AH44" s="145"/>
    </row>
    <row r="45" spans="1:34" x14ac:dyDescent="0.2">
      <c r="A45" s="160"/>
      <c r="B45" s="160" t="s">
        <v>19</v>
      </c>
      <c r="C45" s="160"/>
      <c r="D45" s="160"/>
      <c r="E45" s="160">
        <v>1</v>
      </c>
      <c r="F45" s="160"/>
      <c r="G45" s="166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  <c r="AH45" s="145"/>
    </row>
    <row r="46" spans="1:34" x14ac:dyDescent="0.2">
      <c r="A46" s="160"/>
      <c r="B46" s="160" t="s">
        <v>18</v>
      </c>
      <c r="C46" s="160"/>
      <c r="D46" s="160"/>
      <c r="E46" s="160">
        <v>2</v>
      </c>
      <c r="F46" s="166"/>
      <c r="G46" s="166"/>
    </row>
    <row r="47" spans="1:34" x14ac:dyDescent="0.2">
      <c r="A47" s="160"/>
      <c r="B47" s="160" t="s">
        <v>16</v>
      </c>
      <c r="C47" s="160"/>
      <c r="D47" s="160"/>
      <c r="E47" s="160">
        <v>3</v>
      </c>
      <c r="F47" s="166"/>
      <c r="G47" s="166"/>
    </row>
    <row r="48" spans="1:34" x14ac:dyDescent="0.2">
      <c r="A48" s="145"/>
      <c r="C48" s="145"/>
      <c r="D48" s="145"/>
    </row>
    <row r="49" spans="1:1" x14ac:dyDescent="0.2">
      <c r="A49" s="146"/>
    </row>
    <row r="50" spans="1:1" x14ac:dyDescent="0.2">
      <c r="A50" s="145"/>
    </row>
    <row r="51" spans="1:1" x14ac:dyDescent="0.2">
      <c r="A51" s="145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12" sqref="F1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Tue</v>
      </c>
      <c r="E2" s="48">
        <f ca="1">TODAY()</f>
        <v>42143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42142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54</v>
      </c>
      <c r="C6" s="61">
        <v>4</v>
      </c>
      <c r="D6" s="62"/>
      <c r="E6" s="63" t="s">
        <v>55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42142</v>
      </c>
      <c r="J6" s="67">
        <f t="shared" ref="J6:O6" si="0">I6+1</f>
        <v>42143</v>
      </c>
      <c r="K6" s="67">
        <f t="shared" si="0"/>
        <v>42144</v>
      </c>
      <c r="L6" s="67">
        <f t="shared" si="0"/>
        <v>42145</v>
      </c>
      <c r="M6" s="67">
        <f t="shared" si="0"/>
        <v>42146</v>
      </c>
      <c r="N6" s="68">
        <f t="shared" si="0"/>
        <v>42147</v>
      </c>
      <c r="O6" s="68">
        <f t="shared" si="0"/>
        <v>42148</v>
      </c>
      <c r="P6" s="69">
        <f>I6+7</f>
        <v>42149</v>
      </c>
      <c r="Q6" s="67">
        <f t="shared" ref="Q6:V6" si="1">P6+1</f>
        <v>42150</v>
      </c>
      <c r="R6" s="67">
        <f t="shared" si="1"/>
        <v>42151</v>
      </c>
      <c r="S6" s="67">
        <f t="shared" si="1"/>
        <v>42152</v>
      </c>
      <c r="T6" s="67">
        <f t="shared" si="1"/>
        <v>42153</v>
      </c>
      <c r="U6" s="68">
        <f t="shared" si="1"/>
        <v>42154</v>
      </c>
      <c r="V6" s="68">
        <f t="shared" si="1"/>
        <v>42155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52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4" t="s">
        <v>42</v>
      </c>
      <c r="X7" s="205"/>
      <c r="Y7" s="205"/>
      <c r="Z7" s="205"/>
      <c r="AA7" s="205"/>
      <c r="AB7" s="206"/>
    </row>
    <row r="8" spans="2:28" ht="13.5" thickBot="1" x14ac:dyDescent="0.25">
      <c r="B8" s="78" t="s">
        <v>37</v>
      </c>
      <c r="C8" s="79">
        <f>SUM(G8:G25)</f>
        <v>120</v>
      </c>
      <c r="D8" s="80"/>
      <c r="E8" s="81" t="s">
        <v>146</v>
      </c>
      <c r="F8" s="82">
        <v>1</v>
      </c>
      <c r="G8" s="83">
        <f>SUMIF(Sprint!$F$4:$F$1854,E8,Sprint!$AX$4:$AX$1854)</f>
        <v>36</v>
      </c>
      <c r="H8" s="84"/>
      <c r="I8" s="90">
        <f t="shared" ref="I8:J18" ca="1" si="2">IF(I$6&lt;$E$3,0,IF(ISBLANK($E8),0,IF(I$6&lt;$E$2,0,1)))</f>
        <v>0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201">
        <f t="shared" ref="W8:W25" ca="1" si="5">IF(E8="unassigned",0,(COUNTIF(I8:V8,1)*$C$6)*F8)</f>
        <v>36</v>
      </c>
      <c r="X8" s="202"/>
      <c r="Y8" s="202"/>
      <c r="Z8" s="202"/>
      <c r="AA8" s="202"/>
      <c r="AB8" s="203"/>
    </row>
    <row r="9" spans="2:28" ht="13.5" thickBot="1" x14ac:dyDescent="0.25">
      <c r="B9" s="87" t="s">
        <v>38</v>
      </c>
      <c r="C9" s="79">
        <f ca="1">SUM(W8:AB25)</f>
        <v>82.8</v>
      </c>
      <c r="D9" s="88"/>
      <c r="E9" s="18" t="s">
        <v>148</v>
      </c>
      <c r="F9" s="89">
        <v>1</v>
      </c>
      <c r="G9" s="83">
        <f>SUMIF(Sprint!$F$4:$F$1854,E9,Sprint!$AX$4:$AX$1854)</f>
        <v>40</v>
      </c>
      <c r="H9" s="84"/>
      <c r="I9" s="90">
        <f t="shared" ca="1" si="2"/>
        <v>0</v>
      </c>
      <c r="J9" s="91">
        <f t="shared" ca="1" si="2"/>
        <v>1</v>
      </c>
      <c r="K9" s="91">
        <f t="shared" ca="1" si="3"/>
        <v>1</v>
      </c>
      <c r="L9" s="91">
        <f t="shared" ca="1" si="3"/>
        <v>1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201">
        <f t="shared" ca="1" si="5"/>
        <v>36</v>
      </c>
      <c r="X9" s="202"/>
      <c r="Y9" s="202"/>
      <c r="Z9" s="202"/>
      <c r="AA9" s="202"/>
      <c r="AB9" s="203"/>
    </row>
    <row r="10" spans="2:28" ht="13.5" thickBot="1" x14ac:dyDescent="0.25">
      <c r="B10" s="94" t="s">
        <v>39</v>
      </c>
      <c r="C10" s="95">
        <f ca="1">C8-C9</f>
        <v>37.200000000000003</v>
      </c>
      <c r="D10" s="62"/>
      <c r="E10" s="18" t="s">
        <v>150</v>
      </c>
      <c r="F10" s="89">
        <v>0.3</v>
      </c>
      <c r="G10" s="83">
        <f>SUMIF(Sprint!$F$4:$F$1854,E10,Sprint!$AX$4:$AX$1854)</f>
        <v>44</v>
      </c>
      <c r="H10" s="84"/>
      <c r="I10" s="90">
        <f t="shared" ca="1" si="2"/>
        <v>0</v>
      </c>
      <c r="J10" s="91">
        <f t="shared" ca="1" si="2"/>
        <v>1</v>
      </c>
      <c r="K10" s="91">
        <f t="shared" ca="1" si="3"/>
        <v>1</v>
      </c>
      <c r="L10" s="91">
        <f t="shared" ca="1" si="3"/>
        <v>1</v>
      </c>
      <c r="M10" s="91">
        <f t="shared" ca="1" si="3"/>
        <v>1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201">
        <f t="shared" ca="1" si="5"/>
        <v>10.799999999999999</v>
      </c>
      <c r="X10" s="202"/>
      <c r="Y10" s="202"/>
      <c r="Z10" s="202"/>
      <c r="AA10" s="202"/>
      <c r="AB10" s="203"/>
    </row>
    <row r="11" spans="2:28" ht="13.5" thickBot="1" x14ac:dyDescent="0.25">
      <c r="B11" s="96"/>
      <c r="D11" s="97"/>
      <c r="E11" s="18"/>
      <c r="F11" s="89"/>
      <c r="G11" s="83">
        <f>SUMIF(Sprint!$F$4:$F$1854,E11,Sprint!$AX$4:$AX$1854)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201">
        <f t="shared" si="5"/>
        <v>0</v>
      </c>
      <c r="X11" s="202"/>
      <c r="Y11" s="202"/>
      <c r="Z11" s="202"/>
      <c r="AA11" s="202"/>
      <c r="AB11" s="203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201">
        <f t="shared" si="5"/>
        <v>0</v>
      </c>
      <c r="X12" s="202"/>
      <c r="Y12" s="202"/>
      <c r="Z12" s="202"/>
      <c r="AA12" s="202"/>
      <c r="AB12" s="203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201">
        <f t="shared" si="5"/>
        <v>0</v>
      </c>
      <c r="X13" s="202"/>
      <c r="Y13" s="202"/>
      <c r="Z13" s="202"/>
      <c r="AA13" s="202"/>
      <c r="AB13" s="203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201">
        <f t="shared" si="5"/>
        <v>0</v>
      </c>
      <c r="X14" s="202"/>
      <c r="Y14" s="202"/>
      <c r="Z14" s="202"/>
      <c r="AA14" s="202"/>
      <c r="AB14" s="203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201">
        <f t="shared" si="5"/>
        <v>0</v>
      </c>
      <c r="X15" s="202"/>
      <c r="Y15" s="202"/>
      <c r="Z15" s="202"/>
      <c r="AA15" s="202"/>
      <c r="AB15" s="203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201">
        <f t="shared" si="5"/>
        <v>0</v>
      </c>
      <c r="X16" s="202"/>
      <c r="Y16" s="202"/>
      <c r="Z16" s="202"/>
      <c r="AA16" s="202"/>
      <c r="AB16" s="203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201">
        <f t="shared" si="5"/>
        <v>0</v>
      </c>
      <c r="X17" s="202"/>
      <c r="Y17" s="202"/>
      <c r="Z17" s="202"/>
      <c r="AA17" s="202"/>
      <c r="AB17" s="203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201">
        <f t="shared" si="5"/>
        <v>0</v>
      </c>
      <c r="X18" s="202"/>
      <c r="Y18" s="202"/>
      <c r="Z18" s="202"/>
      <c r="AA18" s="202"/>
      <c r="AB18" s="203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201">
        <f t="shared" si="5"/>
        <v>0</v>
      </c>
      <c r="X19" s="202"/>
      <c r="Y19" s="202"/>
      <c r="Z19" s="202"/>
      <c r="AA19" s="202"/>
      <c r="AB19" s="203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201">
        <f t="shared" si="5"/>
        <v>0</v>
      </c>
      <c r="X20" s="202"/>
      <c r="Y20" s="202"/>
      <c r="Z20" s="202"/>
      <c r="AA20" s="202"/>
      <c r="AB20" s="203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201">
        <f t="shared" si="5"/>
        <v>0</v>
      </c>
      <c r="X21" s="202"/>
      <c r="Y21" s="202"/>
      <c r="Z21" s="202"/>
      <c r="AA21" s="202"/>
      <c r="AB21" s="203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201">
        <f t="shared" si="5"/>
        <v>0</v>
      </c>
      <c r="X22" s="202"/>
      <c r="Y22" s="202"/>
      <c r="Z22" s="202"/>
      <c r="AA22" s="202"/>
      <c r="AB22" s="203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201">
        <f t="shared" si="5"/>
        <v>0</v>
      </c>
      <c r="X23" s="202"/>
      <c r="Y23" s="202"/>
      <c r="Z23" s="202"/>
      <c r="AA23" s="202"/>
      <c r="AB23" s="203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201">
        <f t="shared" si="5"/>
        <v>0</v>
      </c>
      <c r="X24" s="202"/>
      <c r="Y24" s="202"/>
      <c r="Z24" s="202"/>
      <c r="AA24" s="202"/>
      <c r="AB24" s="203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201">
        <f t="shared" si="5"/>
        <v>0</v>
      </c>
      <c r="X25" s="202"/>
      <c r="Y25" s="202"/>
      <c r="Z25" s="202"/>
      <c r="AA25" s="202"/>
      <c r="AB25" s="203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50</v>
      </c>
      <c r="J29" s="43" t="s">
        <v>40</v>
      </c>
      <c r="K29" s="43" t="s">
        <v>51</v>
      </c>
      <c r="Q29" s="122" t="s">
        <v>49</v>
      </c>
      <c r="R29" s="43" t="s">
        <v>40</v>
      </c>
      <c r="S29" s="43" t="s">
        <v>53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47"/>
  <sheetViews>
    <sheetView workbookViewId="0">
      <selection activeCell="B4" sqref="B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4.140625" style="43" bestFit="1" customWidth="1"/>
    <col min="4" max="4" width="20.57031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155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96</v>
      </c>
      <c r="D6" s="131" t="s">
        <v>89</v>
      </c>
      <c r="E6" s="132" t="s">
        <v>95</v>
      </c>
      <c r="F6" s="133" t="s">
        <v>94</v>
      </c>
      <c r="G6" s="133" t="s">
        <v>98</v>
      </c>
      <c r="H6" s="134" t="s">
        <v>97</v>
      </c>
    </row>
    <row r="7" spans="2:8" ht="13.5" thickTop="1" x14ac:dyDescent="0.2">
      <c r="C7" s="182" t="s">
        <v>145</v>
      </c>
      <c r="D7" s="183" t="s">
        <v>146</v>
      </c>
      <c r="E7" s="136" t="s">
        <v>92</v>
      </c>
      <c r="F7" s="137" t="s">
        <v>93</v>
      </c>
      <c r="G7" s="136" t="s">
        <v>99</v>
      </c>
      <c r="H7" s="136" t="s">
        <v>90</v>
      </c>
    </row>
    <row r="8" spans="2:8" x14ac:dyDescent="0.2">
      <c r="C8" s="184" t="s">
        <v>147</v>
      </c>
      <c r="D8" s="185" t="s">
        <v>148</v>
      </c>
      <c r="E8" s="136" t="s">
        <v>92</v>
      </c>
      <c r="F8" s="137" t="s">
        <v>93</v>
      </c>
      <c r="G8" s="136" t="s">
        <v>99</v>
      </c>
      <c r="H8" s="136" t="s">
        <v>90</v>
      </c>
    </row>
    <row r="9" spans="2:8" x14ac:dyDescent="0.2">
      <c r="C9" s="182" t="s">
        <v>149</v>
      </c>
      <c r="D9" s="183" t="s">
        <v>150</v>
      </c>
      <c r="E9" s="136" t="s">
        <v>92</v>
      </c>
      <c r="F9" s="137" t="s">
        <v>93</v>
      </c>
      <c r="G9" s="136" t="s">
        <v>99</v>
      </c>
      <c r="H9" s="136" t="s">
        <v>90</v>
      </c>
    </row>
    <row r="10" spans="2:8" ht="11.25" customHeight="1" x14ac:dyDescent="0.2">
      <c r="C10" s="186" t="s">
        <v>151</v>
      </c>
      <c r="D10" s="187" t="s">
        <v>152</v>
      </c>
      <c r="E10" s="136" t="s">
        <v>92</v>
      </c>
      <c r="F10" s="137" t="s">
        <v>93</v>
      </c>
      <c r="G10" s="136" t="s">
        <v>99</v>
      </c>
      <c r="H10" s="136" t="s">
        <v>90</v>
      </c>
    </row>
    <row r="11" spans="2:8" x14ac:dyDescent="0.2">
      <c r="C11" s="184" t="s">
        <v>153</v>
      </c>
      <c r="D11" s="188" t="s">
        <v>154</v>
      </c>
      <c r="E11" s="136" t="s">
        <v>92</v>
      </c>
      <c r="F11" s="137" t="s">
        <v>93</v>
      </c>
      <c r="G11" s="136" t="s">
        <v>99</v>
      </c>
      <c r="H11" s="136" t="s">
        <v>90</v>
      </c>
    </row>
    <row r="12" spans="2:8" x14ac:dyDescent="0.2">
      <c r="C12" s="135"/>
      <c r="D12" s="136"/>
      <c r="E12" s="136"/>
      <c r="F12" s="137"/>
      <c r="G12" s="136"/>
      <c r="H12" s="136"/>
    </row>
    <row r="13" spans="2:8" x14ac:dyDescent="0.2">
      <c r="C13" s="135"/>
      <c r="D13" s="136"/>
      <c r="E13" s="136"/>
      <c r="F13" s="137"/>
      <c r="G13" s="136"/>
      <c r="H13" s="136"/>
    </row>
    <row r="14" spans="2:8" x14ac:dyDescent="0.2">
      <c r="C14" s="135"/>
      <c r="D14" s="136"/>
      <c r="E14" s="136"/>
      <c r="F14" s="137"/>
      <c r="G14" s="136"/>
      <c r="H14" s="136"/>
    </row>
    <row r="15" spans="2:8" x14ac:dyDescent="0.2">
      <c r="C15" s="135"/>
      <c r="D15" s="136"/>
      <c r="E15" s="136"/>
      <c r="F15" s="137"/>
      <c r="G15" s="136"/>
      <c r="H15" s="136"/>
    </row>
    <row r="16" spans="2:8" x14ac:dyDescent="0.2">
      <c r="C16" s="135"/>
      <c r="D16" s="136"/>
      <c r="E16" s="136"/>
      <c r="F16" s="137"/>
      <c r="G16" s="136"/>
      <c r="H16" s="136"/>
    </row>
    <row r="17" spans="3:8" x14ac:dyDescent="0.2">
      <c r="C17" s="135"/>
      <c r="D17" s="136"/>
      <c r="E17" s="136"/>
      <c r="F17" s="137"/>
      <c r="G17" s="136"/>
      <c r="H17" s="136"/>
    </row>
    <row r="18" spans="3:8" x14ac:dyDescent="0.2">
      <c r="C18" s="135"/>
      <c r="D18" s="136"/>
      <c r="E18" s="136"/>
      <c r="F18" s="137"/>
      <c r="G18" s="136"/>
      <c r="H18" s="136"/>
    </row>
    <row r="19" spans="3:8" x14ac:dyDescent="0.2">
      <c r="C19" s="135"/>
      <c r="D19" s="136"/>
      <c r="E19" s="136"/>
      <c r="F19" s="137"/>
      <c r="G19" s="136"/>
      <c r="H19" s="136"/>
    </row>
    <row r="20" spans="3:8" x14ac:dyDescent="0.2">
      <c r="C20" s="135"/>
      <c r="D20" s="136"/>
      <c r="E20" s="136"/>
      <c r="F20" s="137"/>
      <c r="G20" s="136"/>
      <c r="H20" s="136"/>
    </row>
    <row r="21" spans="3:8" ht="13.5" thickBot="1" x14ac:dyDescent="0.25">
      <c r="C21" s="138"/>
      <c r="D21" s="139"/>
      <c r="E21" s="139"/>
      <c r="F21" s="140"/>
      <c r="G21" s="141"/>
      <c r="H21" s="142"/>
    </row>
    <row r="22" spans="3:8" ht="13.5" thickTop="1" x14ac:dyDescent="0.2"/>
    <row r="37" spans="4:9" x14ac:dyDescent="0.2">
      <c r="G37" s="129"/>
    </row>
    <row r="39" spans="4:9" x14ac:dyDescent="0.2">
      <c r="G39" s="129"/>
      <c r="H39" s="143"/>
    </row>
    <row r="41" spans="4:9" x14ac:dyDescent="0.2">
      <c r="I41" s="143"/>
    </row>
    <row r="43" spans="4:9" x14ac:dyDescent="0.2">
      <c r="I43" s="143"/>
    </row>
    <row r="47" spans="4:9" x14ac:dyDescent="0.2">
      <c r="D47" s="6"/>
    </row>
  </sheetData>
  <phoneticPr fontId="2" type="noConversion"/>
  <hyperlinks>
    <hyperlink ref="D7" r:id="rId1"/>
    <hyperlink ref="D8" r:id="rId2"/>
    <hyperlink ref="D9" r:id="rId3"/>
    <hyperlink ref="D10" r:id="rId4"/>
    <hyperlink ref="D11" r:id="rId5"/>
  </hyperlinks>
  <pageMargins left="0.75" right="0.75" top="1" bottom="1" header="0.5" footer="0.5"/>
  <pageSetup paperSize="9" orientation="portrait" r:id="rId6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28" sqref="B28"/>
    </sheetView>
  </sheetViews>
  <sheetFormatPr defaultRowHeight="12.75" x14ac:dyDescent="0.2"/>
  <cols>
    <col min="1" max="1" width="23.8554687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67" t="s">
        <v>102</v>
      </c>
      <c r="B1" s="168"/>
    </row>
    <row r="2" spans="1:3" ht="15" x14ac:dyDescent="0.25">
      <c r="A2" s="169" t="s">
        <v>103</v>
      </c>
      <c r="B2" s="170">
        <f>COUNTIF(Sprint!$A$4:$A$92, "Feature")</f>
        <v>13</v>
      </c>
      <c r="C2" s="176">
        <f>B2/$B$6</f>
        <v>1</v>
      </c>
    </row>
    <row r="3" spans="1:3" ht="15" x14ac:dyDescent="0.25">
      <c r="A3" s="169" t="s">
        <v>104</v>
      </c>
      <c r="B3" s="170">
        <f>COUNTIF(Sprint!$A$4:$A$92, "Tax")</f>
        <v>0</v>
      </c>
      <c r="C3" s="176">
        <f t="shared" ref="C3:C5" si="0">B3/$B$6</f>
        <v>0</v>
      </c>
    </row>
    <row r="4" spans="1:3" ht="15" x14ac:dyDescent="0.25">
      <c r="A4" s="169" t="s">
        <v>105</v>
      </c>
      <c r="B4" s="170">
        <f>COUNTIF(Sprint!$A$4:$A$92, "Precondition")</f>
        <v>0</v>
      </c>
      <c r="C4" s="176">
        <f t="shared" si="0"/>
        <v>0</v>
      </c>
    </row>
    <row r="5" spans="1:3" ht="15" x14ac:dyDescent="0.25">
      <c r="A5" s="169" t="s">
        <v>106</v>
      </c>
      <c r="B5" s="170">
        <f>COUNTIF(Sprint!$A$4:$A$92, "Spike")</f>
        <v>0</v>
      </c>
      <c r="C5" s="176">
        <f t="shared" si="0"/>
        <v>0</v>
      </c>
    </row>
    <row r="6" spans="1:3" ht="15" x14ac:dyDescent="0.25">
      <c r="A6" s="171" t="s">
        <v>123</v>
      </c>
      <c r="B6" s="177">
        <f>SUM(B2:B5)</f>
        <v>13</v>
      </c>
      <c r="C6" s="178">
        <f>SUM(C2:C5)</f>
        <v>1</v>
      </c>
    </row>
    <row r="7" spans="1:3" ht="15" x14ac:dyDescent="0.25">
      <c r="A7" s="170"/>
      <c r="B7" s="170"/>
    </row>
    <row r="8" spans="1:3" ht="15" x14ac:dyDescent="0.25">
      <c r="A8" s="171" t="s">
        <v>107</v>
      </c>
      <c r="B8" s="170"/>
    </row>
    <row r="9" spans="1:3" ht="15" x14ac:dyDescent="0.25">
      <c r="A9" s="169" t="s">
        <v>129</v>
      </c>
      <c r="B9" s="170">
        <f>COUNTIF(Sprint!$B$4:$B$209, "Data Model")</f>
        <v>0</v>
      </c>
      <c r="C9" s="176" t="e">
        <f>B9/$B$25</f>
        <v>#DIV/0!</v>
      </c>
    </row>
    <row r="10" spans="1:3" ht="15" x14ac:dyDescent="0.25">
      <c r="A10" s="169" t="s">
        <v>130</v>
      </c>
      <c r="B10" s="170">
        <f>COUNTIF(Sprint!$B$4:$B$209, "Integration Model")</f>
        <v>0</v>
      </c>
      <c r="C10" s="176" t="e">
        <f>B10/$B$25</f>
        <v>#DIV/0!</v>
      </c>
    </row>
    <row r="11" spans="1:3" ht="15" x14ac:dyDescent="0.25">
      <c r="A11" s="169" t="s">
        <v>131</v>
      </c>
      <c r="B11" s="170">
        <f>COUNTIF(Sprint!$B$4:$B$209, "System Frameworks")</f>
        <v>0</v>
      </c>
      <c r="C11" s="176" t="e">
        <f>B11/$B$25</f>
        <v>#DIV/0!</v>
      </c>
    </row>
    <row r="12" spans="1:3" ht="15" x14ac:dyDescent="0.25">
      <c r="A12" s="169" t="s">
        <v>108</v>
      </c>
      <c r="B12" s="170">
        <f>COUNTIF(Sprint!$B$4:$B$209, "Data Conversions")</f>
        <v>0</v>
      </c>
      <c r="C12" s="176" t="e">
        <f t="shared" ref="C12:C24" si="1">B12/$B$25</f>
        <v>#DIV/0!</v>
      </c>
    </row>
    <row r="13" spans="1:3" ht="15" x14ac:dyDescent="0.25">
      <c r="A13" s="169" t="s">
        <v>109</v>
      </c>
      <c r="B13" s="170">
        <f>COUNTIF(Sprint!$B$4:$B$209, "Security")</f>
        <v>0</v>
      </c>
      <c r="C13" s="176" t="e">
        <f t="shared" si="1"/>
        <v>#DIV/0!</v>
      </c>
    </row>
    <row r="14" spans="1:3" ht="15" x14ac:dyDescent="0.25">
      <c r="A14" s="169" t="s">
        <v>110</v>
      </c>
      <c r="B14" s="170">
        <f>COUNTIF(Sprint!$B$4:$B$209, "Cash Payment Tracking")</f>
        <v>0</v>
      </c>
      <c r="C14" s="176" t="e">
        <f t="shared" si="1"/>
        <v>#DIV/0!</v>
      </c>
    </row>
    <row r="15" spans="1:3" ht="15" x14ac:dyDescent="0.25">
      <c r="A15" s="169" t="s">
        <v>111</v>
      </c>
      <c r="B15" s="170">
        <f>COUNTIF(Sprint!$B$4:$B$209, "Views")</f>
        <v>0</v>
      </c>
      <c r="C15" s="176" t="e">
        <f t="shared" si="1"/>
        <v>#DIV/0!</v>
      </c>
    </row>
    <row r="16" spans="1:3" ht="15" x14ac:dyDescent="0.25">
      <c r="A16" s="169" t="s">
        <v>112</v>
      </c>
      <c r="B16" s="170">
        <f>COUNTIF(Sprint!$B$4:$B$209, "Lookups")</f>
        <v>0</v>
      </c>
      <c r="C16" s="176" t="e">
        <f t="shared" si="1"/>
        <v>#DIV/0!</v>
      </c>
    </row>
    <row r="17" spans="1:3" ht="15" x14ac:dyDescent="0.25">
      <c r="A17" s="169" t="s">
        <v>113</v>
      </c>
      <c r="B17" s="170">
        <f>COUNTIF(Sprint!$B$4:$B$209, "Detail screens")</f>
        <v>0</v>
      </c>
      <c r="C17" s="176" t="e">
        <f t="shared" si="1"/>
        <v>#DIV/0!</v>
      </c>
    </row>
    <row r="18" spans="1:3" ht="15" x14ac:dyDescent="0.25">
      <c r="A18" s="169" t="s">
        <v>114</v>
      </c>
      <c r="B18" s="170">
        <f>COUNTIF(Sprint!$B$4:$B$209, "Notifications")</f>
        <v>0</v>
      </c>
      <c r="C18" s="176" t="e">
        <f t="shared" si="1"/>
        <v>#DIV/0!</v>
      </c>
    </row>
    <row r="19" spans="1:3" ht="15" x14ac:dyDescent="0.25">
      <c r="A19" s="169" t="s">
        <v>115</v>
      </c>
      <c r="B19" s="170">
        <f>COUNTIF(Sprint!$B$4:$B$209, "Reports")</f>
        <v>0</v>
      </c>
      <c r="C19" s="176" t="e">
        <f t="shared" si="1"/>
        <v>#DIV/0!</v>
      </c>
    </row>
    <row r="20" spans="1:3" ht="15" x14ac:dyDescent="0.25">
      <c r="A20" s="169" t="s">
        <v>116</v>
      </c>
      <c r="B20" s="170">
        <f>COUNTIF(Sprint!$B$4:$B$209, "Installation Package")</f>
        <v>0</v>
      </c>
      <c r="C20" s="176" t="e">
        <f t="shared" si="1"/>
        <v>#DIV/0!</v>
      </c>
    </row>
    <row r="21" spans="1:3" ht="15" x14ac:dyDescent="0.25">
      <c r="A21" s="169" t="s">
        <v>117</v>
      </c>
      <c r="B21" s="170">
        <f>COUNTIF(Sprint!$B$4:$B$209, "Deployment")</f>
        <v>0</v>
      </c>
      <c r="C21" s="176" t="e">
        <f t="shared" si="1"/>
        <v>#DIV/0!</v>
      </c>
    </row>
    <row r="22" spans="1:3" ht="15" x14ac:dyDescent="0.25">
      <c r="A22" s="169" t="s">
        <v>118</v>
      </c>
      <c r="B22" s="170">
        <f>COUNTIF(Sprint!$B$4:$B$209, "Documentation")</f>
        <v>0</v>
      </c>
      <c r="C22" s="176" t="e">
        <f t="shared" si="1"/>
        <v>#DIV/0!</v>
      </c>
    </row>
    <row r="23" spans="1:3" ht="15" x14ac:dyDescent="0.25">
      <c r="A23" s="169" t="s">
        <v>119</v>
      </c>
      <c r="B23" s="170">
        <f>COUNTIF(Sprint!$B$4:$B$209, "Testing")</f>
        <v>0</v>
      </c>
      <c r="C23" s="176" t="e">
        <f t="shared" si="1"/>
        <v>#DIV/0!</v>
      </c>
    </row>
    <row r="24" spans="1:3" ht="15" x14ac:dyDescent="0.25">
      <c r="A24" s="169" t="s">
        <v>120</v>
      </c>
      <c r="B24" s="170">
        <f>COUNTIF(Sprint!$B$4:$B$209, "Project Mgt")</f>
        <v>0</v>
      </c>
      <c r="C24" s="176" t="e">
        <f t="shared" si="1"/>
        <v>#DIV/0!</v>
      </c>
    </row>
    <row r="25" spans="1:3" ht="15" x14ac:dyDescent="0.25">
      <c r="A25" s="171" t="s">
        <v>123</v>
      </c>
      <c r="B25" s="175">
        <f>SUM(B9:B24)</f>
        <v>0</v>
      </c>
      <c r="C25" s="176" t="e">
        <f>SUM(C9:C24)</f>
        <v>#DIV/0!</v>
      </c>
    </row>
    <row r="27" spans="1:3" ht="15" x14ac:dyDescent="0.25">
      <c r="A27" s="174" t="s">
        <v>122</v>
      </c>
    </row>
    <row r="28" spans="1:3" ht="15" x14ac:dyDescent="0.25">
      <c r="A28" s="169" t="s">
        <v>124</v>
      </c>
      <c r="B28" s="170">
        <f ca="1">COUNTIF(Sprint!$G$4:$G$92, "Complete")</f>
        <v>0</v>
      </c>
      <c r="C28" s="176">
        <f ca="1">B28/$B$33</f>
        <v>0</v>
      </c>
    </row>
    <row r="29" spans="1:3" ht="15" x14ac:dyDescent="0.25">
      <c r="A29" s="169" t="s">
        <v>125</v>
      </c>
      <c r="B29" s="170">
        <f ca="1">COUNTIF(Sprint!$G$4:$G$92, "In Progress")</f>
        <v>3</v>
      </c>
      <c r="C29" s="176">
        <f t="shared" ref="C29:C32" ca="1" si="2">B29/$B$33</f>
        <v>5.1724137931034482E-2</v>
      </c>
    </row>
    <row r="30" spans="1:3" ht="15" x14ac:dyDescent="0.25">
      <c r="A30" s="169" t="s">
        <v>126</v>
      </c>
      <c r="B30" s="170">
        <f ca="1">COUNTIF(Sprint!$G$4:$G$92, "Pending")</f>
        <v>55</v>
      </c>
      <c r="C30" s="176">
        <f t="shared" ca="1" si="2"/>
        <v>0.94827586206896552</v>
      </c>
    </row>
    <row r="31" spans="1:3" ht="15" x14ac:dyDescent="0.25">
      <c r="A31" s="169" t="s">
        <v>121</v>
      </c>
      <c r="B31" s="170">
        <f ca="1">COUNTIF(Sprint!$G$4:$G$92, "Postponed")</f>
        <v>0</v>
      </c>
      <c r="C31" s="176">
        <f t="shared" ca="1" si="2"/>
        <v>0</v>
      </c>
    </row>
    <row r="32" spans="1:3" ht="15" x14ac:dyDescent="0.25">
      <c r="A32" s="174" t="s">
        <v>127</v>
      </c>
      <c r="B32" s="170">
        <f ca="1">COUNTIF(Sprint!$G$4:$G$92, "Cancelled")</f>
        <v>0</v>
      </c>
      <c r="C32" s="176">
        <f t="shared" ca="1" si="2"/>
        <v>0</v>
      </c>
    </row>
    <row r="33" spans="1:3" ht="15" x14ac:dyDescent="0.25">
      <c r="A33" s="179" t="s">
        <v>123</v>
      </c>
      <c r="B33" s="180">
        <f ca="1">SUM(B28:B32)</f>
        <v>58</v>
      </c>
      <c r="C33" s="181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Simeon Simeonoff</cp:lastModifiedBy>
  <cp:revision>1</cp:revision>
  <cp:lastPrinted>2005-08-15T09:18:22Z</cp:lastPrinted>
  <dcterms:created xsi:type="dcterms:W3CDTF">2005-01-26T21:50:47Z</dcterms:created>
  <dcterms:modified xsi:type="dcterms:W3CDTF">2015-05-19T08:31:28Z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